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ccueil" sheetId="1" state="visible" r:id="rId2"/>
    <sheet name="Légende" sheetId="2" state="visible" r:id="rId3"/>
    <sheet name="1. Évaluation" sheetId="3" state="visible" r:id="rId4"/>
    <sheet name="2. Tableau de bor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<sst xmlns="http://schemas.openxmlformats.org/spreadsheetml/2006/main" count="507" uniqueCount="246">
  <si>
    <t xml:space="preserve">AUTODIAGNOSTIC ISO/IEC 27001:2022</t>
  </si>
  <si>
    <t xml:space="preserve">Établissement :</t>
  </si>
  <si>
    <t xml:space="preserve">Responsable du SMSI :</t>
  </si>
  <si>
    <t xml:space="preserve">Date de l'autodiagnostic :</t>
  </si>
  <si>
    <t xml:space="preserve">Équipe d'autodiagnostic :</t>
  </si>
  <si>
    <t xml:space="preserve">Instructions : renseigner la colonne « Évaluation » de l'onglet « 1. Évaluation » pour chacun des 93 contrôles, en choisissant un niveau dans la liste déroulante (Insuffisant / Informel / Convaincant / Optimisé). Les taux de conformité et les graphiques de l'onglet « 2. Tableau de bord » se calculent automatiquement.</t>
  </si>
  <si>
    <t xml:space="preserve">ÉCHELLE DE MATURITÉ</t>
  </si>
  <si>
    <t xml:space="preserve">Niveau</t>
  </si>
  <si>
    <t xml:space="preserve">Taux de conformité associé</t>
  </si>
  <si>
    <t xml:space="preserve">Définition</t>
  </si>
  <si>
    <t xml:space="preserve">Insuffisant</t>
  </si>
  <si>
    <t xml:space="preserve">Le contrôle n'est pas mis en œuvre, ou son existence n'est pas constatée. Aucune pratique, même informelle, n'est observée.</t>
  </si>
  <si>
    <t xml:space="preserve">Informel</t>
  </si>
  <si>
    <t xml:space="preserve">Le contrôle est appliqué de façon ponctuelle et non formalisée (pas de procédure écrite, dépendant de personnes plutôt que d'un processus).</t>
  </si>
  <si>
    <t xml:space="preserve">Convaincant</t>
  </si>
  <si>
    <t xml:space="preserve">Le contrôle est formalisé, documenté et appliqué de façon régulière, mais sans pilotage centralisé ni amélioration continue systématique.</t>
  </si>
  <si>
    <t xml:space="preserve">Optimisé</t>
  </si>
  <si>
    <t xml:space="preserve">Le contrôle est formalisé, appliqué, mesuré par des indicateurs et fait l'objet d'une amélioration continue pilotée.</t>
  </si>
  <si>
    <t xml:space="preserve">Structure de l'Annexe A ISO/IEC 27001:2022 (93 contrôles)</t>
  </si>
  <si>
    <t xml:space="preserve">Thème</t>
  </si>
  <si>
    <t xml:space="preserve">Nombre de contrôles</t>
  </si>
  <si>
    <t xml:space="preserve">Domaine</t>
  </si>
  <si>
    <t xml:space="preserve">A.5 Organisationnel</t>
  </si>
  <si>
    <t xml:space="preserve">Gouvernance, politiques, gestion des risques, fournisseurs, incidents, continuité, conformité</t>
  </si>
  <si>
    <t xml:space="preserve">A.6 Personnes</t>
  </si>
  <si>
    <t xml:space="preserve">Vérifications, sensibilisation, conditions d'emploi, travail à distance</t>
  </si>
  <si>
    <t xml:space="preserve">A.7 Physique</t>
  </si>
  <si>
    <t xml:space="preserve">Zones sécurisées, protection des équipements, accès physique</t>
  </si>
  <si>
    <t xml:space="preserve">A.8 Technologique</t>
  </si>
  <si>
    <t xml:space="preserve">Contrôle d'accès, cryptographie, opérations, développement, gestion des vulnérabilités</t>
  </si>
  <si>
    <t xml:space="preserve">AUTODIAGNOSTIC — LES 93 CONTRÔLES DE L'ANNEXE A ISO/IEC 27001:2022</t>
  </si>
  <si>
    <t xml:space="preserve">Choisir un niveau dans la colonne « Évaluation » (liste déroulante) pour chaque contrôle. Le taux se calcule automatiquement.</t>
  </si>
  <si>
    <t xml:space="preserve">Sous-thème</t>
  </si>
  <si>
    <t xml:space="preserve">Code</t>
  </si>
  <si>
    <t xml:space="preserve">Contrôle</t>
  </si>
  <si>
    <t xml:space="preserve">Évaluation</t>
  </si>
  <si>
    <t xml:space="preserve">Taux</t>
  </si>
  <si>
    <t xml:space="preserve">Politiques et gouvernance</t>
  </si>
  <si>
    <t xml:space="preserve">A.5.1</t>
  </si>
  <si>
    <t xml:space="preserve">Politiques de sécurité de l'information</t>
  </si>
  <si>
    <t xml:space="preserve">A.5.2</t>
  </si>
  <si>
    <t xml:space="preserve">Rôles et responsabilités en matière de sécurité de l'information</t>
  </si>
  <si>
    <t xml:space="preserve">A.5.3</t>
  </si>
  <si>
    <t xml:space="preserve">Séparation des tâches</t>
  </si>
  <si>
    <t xml:space="preserve">A.5.4</t>
  </si>
  <si>
    <t xml:space="preserve">Responsabilités de la direction</t>
  </si>
  <si>
    <t xml:space="preserve">A.5.5</t>
  </si>
  <si>
    <t xml:space="preserve">Contact avec les autorités</t>
  </si>
  <si>
    <t xml:space="preserve">A.5.6</t>
  </si>
  <si>
    <t xml:space="preserve">Contact avec des groupes d'intérêt spécial</t>
  </si>
  <si>
    <t xml:space="preserve">Gestion de l'information</t>
  </si>
  <si>
    <t xml:space="preserve">A.5.7</t>
  </si>
  <si>
    <t xml:space="preserve">Renseignement sur les menaces</t>
  </si>
  <si>
    <t xml:space="preserve">A.5.8</t>
  </si>
  <si>
    <t xml:space="preserve">Sécurité de l'information dans la gestion de projet</t>
  </si>
  <si>
    <t xml:space="preserve">A.5.9</t>
  </si>
  <si>
    <t xml:space="preserve">Inventaire de l'information et des autres actifs associés</t>
  </si>
  <si>
    <t xml:space="preserve">A.5.10</t>
  </si>
  <si>
    <t xml:space="preserve">Utilisation acceptable de l'information et des autres actifs associés</t>
  </si>
  <si>
    <t xml:space="preserve">A.5.11</t>
  </si>
  <si>
    <t xml:space="preserve">Restitution des actifs</t>
  </si>
  <si>
    <t xml:space="preserve">A.5.12</t>
  </si>
  <si>
    <t xml:space="preserve">Classification de l'information</t>
  </si>
  <si>
    <t xml:space="preserve">A.5.13</t>
  </si>
  <si>
    <t xml:space="preserve">Étiquetage de l'information</t>
  </si>
  <si>
    <t xml:space="preserve">A.5.14</t>
  </si>
  <si>
    <t xml:space="preserve">Transfert de l'information</t>
  </si>
  <si>
    <t xml:space="preserve">Contrôle d'accès et identité</t>
  </si>
  <si>
    <t xml:space="preserve">A.5.15</t>
  </si>
  <si>
    <t xml:space="preserve">Contrôle d'accès</t>
  </si>
  <si>
    <t xml:space="preserve">A.5.16</t>
  </si>
  <si>
    <t xml:space="preserve">Gestion des identités</t>
  </si>
  <si>
    <t xml:space="preserve">A.5.17</t>
  </si>
  <si>
    <t xml:space="preserve">Informations d'authentification</t>
  </si>
  <si>
    <t xml:space="preserve">A.5.18</t>
  </si>
  <si>
    <t xml:space="preserve">Droits d'accès</t>
  </si>
  <si>
    <t xml:space="preserve">Gestion des fournisseurs</t>
  </si>
  <si>
    <t xml:space="preserve">A.5.19</t>
  </si>
  <si>
    <t xml:space="preserve">Sécurité de l'information dans les relations fournisseurs</t>
  </si>
  <si>
    <t xml:space="preserve">A.5.20</t>
  </si>
  <si>
    <t xml:space="preserve">Traitement de la sécurité de l'information dans les accords fournisseurs</t>
  </si>
  <si>
    <t xml:space="preserve">A.5.21</t>
  </si>
  <si>
    <t xml:space="preserve">Gestion de la sécurité de l'information dans la chaîne d'approvisionnement TIC</t>
  </si>
  <si>
    <t xml:space="preserve">A.5.22</t>
  </si>
  <si>
    <t xml:space="preserve">Surveillance, revue et gestion des changements des services fournisseurs</t>
  </si>
  <si>
    <t xml:space="preserve">A.5.23</t>
  </si>
  <si>
    <t xml:space="preserve">Sécurité de l'information pour l'utilisation des services cloud</t>
  </si>
  <si>
    <t xml:space="preserve">Incidents et continuité</t>
  </si>
  <si>
    <t xml:space="preserve">A.5.24</t>
  </si>
  <si>
    <t xml:space="preserve">Planification et préparation de la gestion des incidents</t>
  </si>
  <si>
    <t xml:space="preserve">A.5.25</t>
  </si>
  <si>
    <t xml:space="preserve">Évaluation et décision sur les événements de sécurité de l'information</t>
  </si>
  <si>
    <t xml:space="preserve">A.5.26</t>
  </si>
  <si>
    <t xml:space="preserve">Réponse aux incidents de sécurité de l'information</t>
  </si>
  <si>
    <t xml:space="preserve">A.5.27</t>
  </si>
  <si>
    <t xml:space="preserve">Apprentissage des incidents de sécurité de l'information</t>
  </si>
  <si>
    <t xml:space="preserve">A.5.28</t>
  </si>
  <si>
    <t xml:space="preserve">Collecte de preuves</t>
  </si>
  <si>
    <t xml:space="preserve">A.5.29</t>
  </si>
  <si>
    <t xml:space="preserve">Sécurité de l'information pendant une perturbation</t>
  </si>
  <si>
    <t xml:space="preserve">A.5.30</t>
  </si>
  <si>
    <t xml:space="preserve">Préparation des TIC pour la continuité d'activité</t>
  </si>
  <si>
    <t xml:space="preserve">Conformité et juridique</t>
  </si>
  <si>
    <t xml:space="preserve">A.5.31</t>
  </si>
  <si>
    <t xml:space="preserve">Exigences légales, statutaires, réglementaires et contractuelles</t>
  </si>
  <si>
    <t xml:space="preserve">A.5.32</t>
  </si>
  <si>
    <t xml:space="preserve">Droits de propriété intellectuelle</t>
  </si>
  <si>
    <t xml:space="preserve">A.5.33</t>
  </si>
  <si>
    <t xml:space="preserve">Protection des enregistrements</t>
  </si>
  <si>
    <t xml:space="preserve">A.5.34</t>
  </si>
  <si>
    <t xml:space="preserve">Protection de la vie privée et des données personnelles</t>
  </si>
  <si>
    <t xml:space="preserve">A.5.35</t>
  </si>
  <si>
    <t xml:space="preserve">Revue indépendante de la sécurité de l'information</t>
  </si>
  <si>
    <t xml:space="preserve">A.5.36</t>
  </si>
  <si>
    <t xml:space="preserve">Conformité aux politiques, règles et normes de sécurité</t>
  </si>
  <si>
    <t xml:space="preserve">A.5.37</t>
  </si>
  <si>
    <t xml:space="preserve">Procédures opérationnelles documentées</t>
  </si>
  <si>
    <t xml:space="preserve">Personnes</t>
  </si>
  <si>
    <t xml:space="preserve">A.6.1</t>
  </si>
  <si>
    <t xml:space="preserve">Vérification des antécédents</t>
  </si>
  <si>
    <t xml:space="preserve">A.6.2</t>
  </si>
  <si>
    <t xml:space="preserve">Conditions d'emploi</t>
  </si>
  <si>
    <t xml:space="preserve">A.6.3</t>
  </si>
  <si>
    <t xml:space="preserve">Sensibilisation, éducation et formation à la sécurité de l'information</t>
  </si>
  <si>
    <t xml:space="preserve">A.6.4</t>
  </si>
  <si>
    <t xml:space="preserve">Processus disciplinaire</t>
  </si>
  <si>
    <t xml:space="preserve">A.6.5</t>
  </si>
  <si>
    <t xml:space="preserve">Responsabilités après la fin ou le changement d'emploi</t>
  </si>
  <si>
    <t xml:space="preserve">A.6.6</t>
  </si>
  <si>
    <t xml:space="preserve">Accords de confidentialité ou de non-divulgation</t>
  </si>
  <si>
    <t xml:space="preserve">A.6.7</t>
  </si>
  <si>
    <t xml:space="preserve">Travail à distance</t>
  </si>
  <si>
    <t xml:space="preserve">A.6.8</t>
  </si>
  <si>
    <t xml:space="preserve">Signalement des événements de sécurité de l'information</t>
  </si>
  <si>
    <t xml:space="preserve">Sécurité des zones</t>
  </si>
  <si>
    <t xml:space="preserve">A.7.1</t>
  </si>
  <si>
    <t xml:space="preserve">Périmètres de sécurité physique</t>
  </si>
  <si>
    <t xml:space="preserve">A.7.2</t>
  </si>
  <si>
    <t xml:space="preserve">Accès physique</t>
  </si>
  <si>
    <t xml:space="preserve">A.7.3</t>
  </si>
  <si>
    <t xml:space="preserve">Sécurisation des bureaux, salles et installations</t>
  </si>
  <si>
    <t xml:space="preserve">A.7.4</t>
  </si>
  <si>
    <t xml:space="preserve">Surveillance de la sécurité physique</t>
  </si>
  <si>
    <t xml:space="preserve">A.7.5</t>
  </si>
  <si>
    <t xml:space="preserve">Protection contre les menaces physiques et environnementales</t>
  </si>
  <si>
    <t xml:space="preserve">A.7.6</t>
  </si>
  <si>
    <t xml:space="preserve">Travail dans les zones sécurisées</t>
  </si>
  <si>
    <t xml:space="preserve">A.7.7</t>
  </si>
  <si>
    <t xml:space="preserve">Bureau propre et écran verrouillé</t>
  </si>
  <si>
    <t xml:space="preserve">Sécurité des équipements</t>
  </si>
  <si>
    <t xml:space="preserve">A.7.8</t>
  </si>
  <si>
    <t xml:space="preserve">Emplacement et protection des équipements</t>
  </si>
  <si>
    <t xml:space="preserve">A.7.9</t>
  </si>
  <si>
    <t xml:space="preserve">Sécurité des actifs hors des locaux</t>
  </si>
  <si>
    <t xml:space="preserve">A.7.10</t>
  </si>
  <si>
    <t xml:space="preserve">Supports de stockage</t>
  </si>
  <si>
    <t xml:space="preserve">A.7.11</t>
  </si>
  <si>
    <t xml:space="preserve">Services généraux</t>
  </si>
  <si>
    <t xml:space="preserve">A.7.12</t>
  </si>
  <si>
    <t xml:space="preserve">Sécurité du câblage</t>
  </si>
  <si>
    <t xml:space="preserve">A.7.13</t>
  </si>
  <si>
    <t xml:space="preserve">Maintenance des équipements</t>
  </si>
  <si>
    <t xml:space="preserve">A.7.14</t>
  </si>
  <si>
    <t xml:space="preserve">Mise au rebut ou réutilisation sécurisée des équipements</t>
  </si>
  <si>
    <t xml:space="preserve">Terminaux et accès</t>
  </si>
  <si>
    <t xml:space="preserve">A.8.1</t>
  </si>
  <si>
    <t xml:space="preserve">Terminaux utilisateur</t>
  </si>
  <si>
    <t xml:space="preserve">A.8.2</t>
  </si>
  <si>
    <t xml:space="preserve">Droits d'accès privilégié</t>
  </si>
  <si>
    <t xml:space="preserve">A.8.3</t>
  </si>
  <si>
    <t xml:space="preserve">Restriction d'accès à l'information</t>
  </si>
  <si>
    <t xml:space="preserve">A.8.4</t>
  </si>
  <si>
    <t xml:space="preserve">Accès au code source</t>
  </si>
  <si>
    <t xml:space="preserve">A.8.5</t>
  </si>
  <si>
    <t xml:space="preserve">Authentification sécurisée</t>
  </si>
  <si>
    <t xml:space="preserve">Configuration et vulnérabilités</t>
  </si>
  <si>
    <t xml:space="preserve">A.8.6</t>
  </si>
  <si>
    <t xml:space="preserve">Gestion de la capacité</t>
  </si>
  <si>
    <t xml:space="preserve">A.8.7</t>
  </si>
  <si>
    <t xml:space="preserve">Protection contre les logiciels malveillants</t>
  </si>
  <si>
    <t xml:space="preserve">A.8.8</t>
  </si>
  <si>
    <t xml:space="preserve">Gestion des vulnérabilités techniques</t>
  </si>
  <si>
    <t xml:space="preserve">A.8.9</t>
  </si>
  <si>
    <t xml:space="preserve">Gestion de la configuration</t>
  </si>
  <si>
    <t xml:space="preserve">A.8.10</t>
  </si>
  <si>
    <t xml:space="preserve">Suppression de l'information</t>
  </si>
  <si>
    <t xml:space="preserve">Protection des données</t>
  </si>
  <si>
    <t xml:space="preserve">A.8.11</t>
  </si>
  <si>
    <t xml:space="preserve">Masquage des données</t>
  </si>
  <si>
    <t xml:space="preserve">A.8.12</t>
  </si>
  <si>
    <t xml:space="preserve">Prévention des fuites de données</t>
  </si>
  <si>
    <t xml:space="preserve">A.8.13</t>
  </si>
  <si>
    <t xml:space="preserve">Sauvegarde de l'information</t>
  </si>
  <si>
    <t xml:space="preserve">A.8.14</t>
  </si>
  <si>
    <t xml:space="preserve">Redondance des installations de traitement de l'information</t>
  </si>
  <si>
    <t xml:space="preserve">Journalisation et surveillance</t>
  </si>
  <si>
    <t xml:space="preserve">A.8.15</t>
  </si>
  <si>
    <t xml:space="preserve">Journalisation</t>
  </si>
  <si>
    <t xml:space="preserve">A.8.16</t>
  </si>
  <si>
    <t xml:space="preserve">Activités de surveillance</t>
  </si>
  <si>
    <t xml:space="preserve">Sécurité opérationnelle et réseau</t>
  </si>
  <si>
    <t xml:space="preserve">A.8.17</t>
  </si>
  <si>
    <t xml:space="preserve">Synchronisation des horloges</t>
  </si>
  <si>
    <t xml:space="preserve">A.8.18</t>
  </si>
  <si>
    <t xml:space="preserve">Utilisation de programmes utilitaires privilégiés</t>
  </si>
  <si>
    <t xml:space="preserve">A.8.19</t>
  </si>
  <si>
    <t xml:space="preserve">Installation de logiciels sur les systèmes opérationnels</t>
  </si>
  <si>
    <t xml:space="preserve">A.8.20</t>
  </si>
  <si>
    <t xml:space="preserve">Sécurité des réseaux</t>
  </si>
  <si>
    <t xml:space="preserve">A.8.21</t>
  </si>
  <si>
    <t xml:space="preserve">Sécurité des services réseau</t>
  </si>
  <si>
    <t xml:space="preserve">A.8.22</t>
  </si>
  <si>
    <t xml:space="preserve">Séparation des réseaux</t>
  </si>
  <si>
    <t xml:space="preserve">Sécurité web et cryptographie</t>
  </si>
  <si>
    <t xml:space="preserve">A.8.23</t>
  </si>
  <si>
    <t xml:space="preserve">Filtrage web</t>
  </si>
  <si>
    <t xml:space="preserve">A.8.24</t>
  </si>
  <si>
    <t xml:space="preserve">Utilisation de la cryptographie</t>
  </si>
  <si>
    <t xml:space="preserve">Sécurité du développement</t>
  </si>
  <si>
    <t xml:space="preserve">A.8.25</t>
  </si>
  <si>
    <t xml:space="preserve">Cycle de développement sécurisé</t>
  </si>
  <si>
    <t xml:space="preserve">A.8.26</t>
  </si>
  <si>
    <t xml:space="preserve">Exigences de sécurité des applications</t>
  </si>
  <si>
    <t xml:space="preserve">A.8.27</t>
  </si>
  <si>
    <t xml:space="preserve">Architecture système sécurisée et principes d'ingénierie</t>
  </si>
  <si>
    <t xml:space="preserve">A.8.28</t>
  </si>
  <si>
    <t xml:space="preserve">Codage sécurisé</t>
  </si>
  <si>
    <t xml:space="preserve">A.8.29</t>
  </si>
  <si>
    <t xml:space="preserve">Tests de sécurité en développement et acceptance</t>
  </si>
  <si>
    <t xml:space="preserve">A.8.30</t>
  </si>
  <si>
    <t xml:space="preserve">Développement externalisé</t>
  </si>
  <si>
    <t xml:space="preserve">A.8.31</t>
  </si>
  <si>
    <t xml:space="preserve">Séparation des environnements de développement, de test et opérationnels</t>
  </si>
  <si>
    <t xml:space="preserve">A.8.32</t>
  </si>
  <si>
    <t xml:space="preserve">Gestion des changements</t>
  </si>
  <si>
    <t xml:space="preserve">A.8.33</t>
  </si>
  <si>
    <t xml:space="preserve">Informations de test</t>
  </si>
  <si>
    <t xml:space="preserve">A.8.34</t>
  </si>
  <si>
    <t xml:space="preserve">Protection des systèmes d'information pendant les tests d'audit</t>
  </si>
  <si>
    <t xml:space="preserve"> </t>
  </si>
  <si>
    <t xml:space="preserve">1. Synthèse par thème</t>
  </si>
  <si>
    <t xml:space="preserve">Nombre évalués</t>
  </si>
  <si>
    <t xml:space="preserve">Taux de conformité moyen</t>
  </si>
  <si>
    <t xml:space="preserve">Moyenne générale</t>
  </si>
  <si>
    <t xml:space="preserve">2. Synthèse par sous-thème</t>
  </si>
  <si>
    <t xml:space="preserve">3. Distribution des niveaux de maturité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</si>
</sst>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93 contrôles par niveau de maturité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Tableau de bord'!B32</c:f>
              <c:strCache>
                <c:ptCount val="1"/>
                <c:pt idx="0">
                  <c:v>Nombre de contrôles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Tableau de bord'!$A$33:$A$36</c:f>
              <c:strCache>
                <c:ptCount val="4"/>
                <c:pt idx="0">
                  <c:v>Insuffisant</c:v>
                </c:pt>
                <c:pt idx="1">
                  <c:v>Informel</c:v>
                </c:pt>
                <c:pt idx="2">
                  <c:v>Convaincant</c:v>
                </c:pt>
                <c:pt idx="3">
                  <c:v>Optimisé</c:v>
                </c:pt>
              </c:strCache>
            </c:strRef>
          </c:cat>
          <c:val>
            <c:numRef>
              <c:f>'2. Tableau de bord'!$B$33:$B$36</c:f>
              <c:numCache>
                <c:formatCode>General</c:formatCode>
                <c:ptCount val="4"/>
                <c:pt idx="0">
                  <c:v>12</c:v>
                </c:pt>
                <c:pt idx="1">
                  <c:v>16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506359"/>
        <c:axId val="65624694"/>
      </c:barChart>
      <c:catAx>
        <c:axId val="5506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Niveau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24694"/>
        <c:crosses val="autoZero"/>
        <c:auto val="1"/>
        <c:lblAlgn val="ctr"/>
        <c:lblOffset val="100"/>
        <c:noMultiLvlLbl val="0"/>
      </c:catAx>
      <c:valAx>
        <c:axId val="65624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contrôles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6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conformité par thème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Tableau de bord'!D4</c:f>
              <c:strCache>
                <c:ptCount val="1"/>
                <c:pt idx="0">
                  <c:v>Taux de conformité moyen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Tableau de bord'!$A$5:$A$8</c:f>
              <c:strCache>
                <c:ptCount val="4"/>
                <c:pt idx="0">
                  <c:v>A.5 Organisationnel</c:v>
                </c:pt>
                <c:pt idx="1">
                  <c:v>A.6 Personnes</c:v>
                </c:pt>
                <c:pt idx="2">
                  <c:v>A.7 Physique</c:v>
                </c:pt>
                <c:pt idx="3">
                  <c:v>A.8 Technologique</c:v>
                </c:pt>
              </c:strCache>
            </c:strRef>
          </c:cat>
          <c:val>
            <c:numRef>
              <c:f>'2. Tableau de bord'!$D$5:$D$8</c:f>
              <c:numCache>
                <c:formatCode>General</c:formatCode>
                <c:ptCount val="4"/>
                <c:pt idx="0">
                  <c:v>0.37875</c:v>
                </c:pt>
                <c:pt idx="2">
                  <c:v>0.498181818181818</c:v>
                </c:pt>
                <c:pt idx="3">
                  <c:v>0.509333333333333</c:v>
                </c:pt>
              </c:numCache>
            </c:numRef>
          </c:val>
        </c:ser>
        <c:gapWidth val="150"/>
        <c:overlap val="0"/>
        <c:axId val="36395253"/>
        <c:axId val="30668943"/>
      </c:barChart>
      <c:catAx>
        <c:axId val="36395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Thème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68943"/>
        <c:crosses val="autoZero"/>
        <c:auto val="1"/>
        <c:lblAlgn val="ctr"/>
        <c:lblOffset val="100"/>
        <c:noMultiLvlLbl val="0"/>
      </c:catAx>
      <c:valAx>
        <c:axId val="30668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conformité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95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Cartographie de maturité par sous-thème (16 sous-thèmes)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'2. Tableau de bord'!D13</c:f>
              <c:strCache>
                <c:ptCount val="1"/>
                <c:pt idx="0">
                  <c:v>Taux de conformité moyen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Tableau de bord'!$B$14:$B$29</c:f>
              <c:strCache>
                <c:ptCount val="16"/>
                <c:pt idx="0">
                  <c:v>Politiques et gouvernance</c:v>
                </c:pt>
                <c:pt idx="1">
                  <c:v>Gestion de l'information</c:v>
                </c:pt>
                <c:pt idx="2">
                  <c:v>Contrôle d'accès et identité</c:v>
                </c:pt>
                <c:pt idx="3">
                  <c:v>Gestion des fournisseurs</c:v>
                </c:pt>
                <c:pt idx="4">
                  <c:v>Incidents et continuité</c:v>
                </c:pt>
                <c:pt idx="5">
                  <c:v>Conformité et juridique</c:v>
                </c:pt>
                <c:pt idx="6">
                  <c:v>Personnes</c:v>
                </c:pt>
                <c:pt idx="7">
                  <c:v>Sécurité des zones</c:v>
                </c:pt>
                <c:pt idx="8">
                  <c:v>Sécurité des équipements</c:v>
                </c:pt>
                <c:pt idx="9">
                  <c:v>Terminaux et accès</c:v>
                </c:pt>
                <c:pt idx="10">
                  <c:v>Configuration et vulnérabilités</c:v>
                </c:pt>
                <c:pt idx="11">
                  <c:v>Protection des données</c:v>
                </c:pt>
                <c:pt idx="12">
                  <c:v>Journalisation et surveillance</c:v>
                </c:pt>
                <c:pt idx="13">
                  <c:v>Sécurité opérationnelle et réseau</c:v>
                </c:pt>
                <c:pt idx="14">
                  <c:v>Sécurité web et cryptographie</c:v>
                </c:pt>
                <c:pt idx="15">
                  <c:v>Sécurité du développement</c:v>
                </c:pt>
              </c:strCache>
            </c:strRef>
          </c:cat>
          <c:val>
            <c:numRef>
              <c:f>'2. Tableau de bord'!$D$14:$D$29</c:f>
              <c:numCache>
                <c:formatCode>General</c:formatCode>
                <c:ptCount val="16"/>
                <c:pt idx="0">
                  <c:v>0.15</c:v>
                </c:pt>
                <c:pt idx="1">
                  <c:v>0.325</c:v>
                </c:pt>
                <c:pt idx="2">
                  <c:v>0.67</c:v>
                </c:pt>
                <c:pt idx="3">
                  <c:v>0.585</c:v>
                </c:pt>
                <c:pt idx="4">
                  <c:v>0.266666666666667</c:v>
                </c:pt>
                <c:pt idx="5">
                  <c:v>0.4125</c:v>
                </c:pt>
                <c:pt idx="7">
                  <c:v>0.585</c:v>
                </c:pt>
                <c:pt idx="8">
                  <c:v>0.448571428571429</c:v>
                </c:pt>
                <c:pt idx="9">
                  <c:v>0.4975</c:v>
                </c:pt>
                <c:pt idx="10">
                  <c:v>0.325</c:v>
                </c:pt>
                <c:pt idx="11">
                  <c:v>0.325</c:v>
                </c:pt>
                <c:pt idx="12">
                  <c:v>0.67</c:v>
                </c:pt>
                <c:pt idx="13">
                  <c:v>0.613333333333333</c:v>
                </c:pt>
                <c:pt idx="14">
                  <c:v>0.5</c:v>
                </c:pt>
                <c:pt idx="15">
                  <c:v>0.67</c:v>
                </c:pt>
              </c:numCache>
            </c:numRef>
          </c:val>
        </c:ser>
        <c:axId val="91581210"/>
        <c:axId val="92062570"/>
      </c:radarChart>
      <c:catAx>
        <c:axId val="9158121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62570"/>
        <c:crosses val="autoZero"/>
        <c:auto val="1"/>
        <c:lblAlgn val="ctr"/>
        <c:lblOffset val="100"/>
        <c:noMultiLvlLbl val="0"/>
      </c:catAx>
      <c:valAx>
        <c:axId val="92062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8121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68760</xdr:colOff>
      <xdr:row>1</xdr:row>
      <xdr:rowOff>124200</xdr:rowOff>
    </xdr:from>
    <xdr:to>
      <xdr:col>14</xdr:col>
      <xdr:colOff>324360</xdr:colOff>
      <xdr:row>17</xdr:row>
      <xdr:rowOff>14040</xdr:rowOff>
    </xdr:to>
    <xdr:graphicFrame>
      <xdr:nvGraphicFramePr>
        <xdr:cNvPr id="0" name="Chart 1"/>
        <xdr:cNvGraphicFramePr/>
      </xdr:nvGraphicFramePr>
      <xdr:xfrm>
        <a:off x="9377280" y="314640"/>
        <a:ext cx="719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82080</xdr:colOff>
      <xdr:row>17</xdr:row>
      <xdr:rowOff>99360</xdr:rowOff>
    </xdr:from>
    <xdr:to>
      <xdr:col>16</xdr:col>
      <xdr:colOff>454680</xdr:colOff>
      <xdr:row>39</xdr:row>
      <xdr:rowOff>66960</xdr:rowOff>
    </xdr:to>
    <xdr:graphicFrame>
      <xdr:nvGraphicFramePr>
        <xdr:cNvPr id="1" name="Chart 2"/>
        <xdr:cNvGraphicFramePr/>
      </xdr:nvGraphicFramePr>
      <xdr:xfrm>
        <a:off x="10162080" y="3638880"/>
        <a:ext cx="8087760" cy="430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316440</xdr:colOff>
      <xdr:row>40</xdr:row>
      <xdr:rowOff>50760</xdr:rowOff>
    </xdr:from>
    <xdr:to>
      <xdr:col>19</xdr:col>
      <xdr:colOff>120240</xdr:colOff>
      <xdr:row>70</xdr:row>
      <xdr:rowOff>88200</xdr:rowOff>
    </xdr:to>
    <xdr:graphicFrame>
      <xdr:nvGraphicFramePr>
        <xdr:cNvPr id="2" name="Chart 3"/>
        <xdr:cNvGraphicFramePr/>
      </xdr:nvGraphicFramePr>
      <xdr:xfrm>
        <a:off x="10396440" y="8122320"/>
        <a:ext cx="9833760" cy="575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/>
    </row>
    <row r="6" customFormat="false" ht="15" hidden="false" customHeight="false" outlineLevel="0" collapsed="false">
      <c r="A6" s="2" t="s">
        <v>3</v>
      </c>
      <c r="B6" s="3"/>
    </row>
    <row r="7" customFormat="false" ht="15" hidden="false" customHeight="false" outlineLevel="0" collapsed="false">
      <c r="A7" s="2" t="s">
        <v>4</v>
      </c>
      <c r="B7" s="3"/>
    </row>
    <row r="9" customFormat="false" ht="52.2" hidden="false" customHeight="true" outlineLevel="0" collapsed="false">
      <c r="A9" s="4" t="s">
        <v>5</v>
      </c>
      <c r="B9" s="4"/>
      <c r="C9" s="4"/>
      <c r="D9" s="4"/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6</v>
      </c>
      <c r="B1" s="5"/>
      <c r="C1" s="5"/>
    </row>
    <row r="3" customFormat="false" ht="26.85" hidden="false" customHeight="false" outlineLevel="0" collapsed="false">
      <c r="A3" s="6" t="s">
        <v>7</v>
      </c>
      <c r="B3" s="6" t="s">
        <v>8</v>
      </c>
      <c r="C3" s="6" t="s">
        <v>9</v>
      </c>
    </row>
    <row r="4" customFormat="false" ht="45" hidden="false" customHeight="true" outlineLevel="0" collapsed="false">
      <c r="A4" s="7" t="s">
        <v>10</v>
      </c>
      <c r="B4" s="8" t="n">
        <v>0.15</v>
      </c>
      <c r="C4" s="7" t="s">
        <v>11</v>
      </c>
    </row>
    <row r="5" customFormat="false" ht="45" hidden="false" customHeight="true" outlineLevel="0" collapsed="false">
      <c r="A5" s="7" t="s">
        <v>12</v>
      </c>
      <c r="B5" s="8" t="n">
        <v>0.5</v>
      </c>
      <c r="C5" s="7" t="s">
        <v>13</v>
      </c>
    </row>
    <row r="6" customFormat="false" ht="45" hidden="false" customHeight="true" outlineLevel="0" collapsed="false">
      <c r="A6" s="7" t="s">
        <v>14</v>
      </c>
      <c r="B6" s="8" t="n">
        <v>0.67</v>
      </c>
      <c r="C6" s="7" t="s">
        <v>15</v>
      </c>
    </row>
    <row r="7" customFormat="false" ht="45" hidden="false" customHeight="true" outlineLevel="0" collapsed="false">
      <c r="A7" s="7" t="s">
        <v>16</v>
      </c>
      <c r="B7" s="8" t="n">
        <v>1</v>
      </c>
      <c r="C7" s="7" t="s">
        <v>17</v>
      </c>
    </row>
    <row r="9" customFormat="false" ht="15" hidden="false" customHeight="false" outlineLevel="0" collapsed="false">
      <c r="A9" s="2" t="s">
        <v>18</v>
      </c>
    </row>
    <row r="10" customFormat="false" ht="15" hidden="false" customHeight="false" outlineLevel="0" collapsed="false">
      <c r="A10" s="6" t="s">
        <v>19</v>
      </c>
      <c r="B10" s="6" t="s">
        <v>20</v>
      </c>
      <c r="C10" s="6" t="s">
        <v>21</v>
      </c>
    </row>
    <row r="11" customFormat="false" ht="26.85" hidden="false" customHeight="false" outlineLevel="0" collapsed="false">
      <c r="A11" s="7" t="s">
        <v>22</v>
      </c>
      <c r="B11" s="7" t="n">
        <v>37</v>
      </c>
      <c r="C11" s="7" t="s">
        <v>23</v>
      </c>
    </row>
    <row r="12" customFormat="false" ht="15" hidden="false" customHeight="false" outlineLevel="0" collapsed="false">
      <c r="A12" s="7" t="s">
        <v>24</v>
      </c>
      <c r="B12" s="7" t="n">
        <v>8</v>
      </c>
      <c r="C12" s="7" t="s">
        <v>25</v>
      </c>
    </row>
    <row r="13" customFormat="false" ht="15" hidden="false" customHeight="false" outlineLevel="0" collapsed="false">
      <c r="A13" s="7" t="s">
        <v>26</v>
      </c>
      <c r="B13" s="7" t="n">
        <v>14</v>
      </c>
      <c r="C13" s="7" t="s">
        <v>27</v>
      </c>
    </row>
    <row r="14" customFormat="false" ht="26.85" hidden="false" customHeight="false" outlineLevel="0" collapsed="false">
      <c r="A14" s="7" t="s">
        <v>28</v>
      </c>
      <c r="B14" s="7" t="n">
        <v>34</v>
      </c>
      <c r="C14" s="7" t="s">
        <v>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62" activePane="bottomLeft" state="frozen"/>
      <selection pane="topLeft" activeCell="A1" activeCellId="0" sqref="A1"/>
      <selection pane="bottomLeft" activeCell="E84" activeCellId="0" sqref="E8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5" t="s">
        <v>30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9" t="s">
        <v>31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6" t="s">
        <v>19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</row>
    <row r="5" customFormat="false" ht="19.5" hidden="false" customHeight="true" outlineLevel="0" collapsed="false">
      <c r="A5" s="7" t="s">
        <v>22</v>
      </c>
      <c r="B5" s="7" t="s">
        <v>37</v>
      </c>
      <c r="C5" s="7" t="s">
        <v>38</v>
      </c>
      <c r="D5" s="7" t="s">
        <v>39</v>
      </c>
      <c r="E5" s="7" t="s">
        <v>10</v>
      </c>
      <c r="F5" s="8" t="n">
        <f aca="false">IFERROR(VLOOKUP(E5,Légende!$A$4:$B$7,2,FALSE()),"")</f>
        <v>0.15</v>
      </c>
    </row>
    <row r="6" customFormat="false" ht="19.5" hidden="false" customHeight="true" outlineLevel="0" collapsed="false">
      <c r="A6" s="7" t="s">
        <v>22</v>
      </c>
      <c r="B6" s="7" t="s">
        <v>37</v>
      </c>
      <c r="C6" s="7" t="s">
        <v>40</v>
      </c>
      <c r="D6" s="7" t="s">
        <v>41</v>
      </c>
      <c r="E6" s="7" t="s">
        <v>10</v>
      </c>
      <c r="F6" s="8" t="n">
        <f aca="false">IFERROR(VLOOKUP(E6,Légende!$A$4:$B$7,2,FALSE()),"")</f>
        <v>0.15</v>
      </c>
    </row>
    <row r="7" customFormat="false" ht="19.5" hidden="false" customHeight="true" outlineLevel="0" collapsed="false">
      <c r="A7" s="7" t="s">
        <v>22</v>
      </c>
      <c r="B7" s="7" t="s">
        <v>37</v>
      </c>
      <c r="C7" s="7" t="s">
        <v>42</v>
      </c>
      <c r="D7" s="7" t="s">
        <v>43</v>
      </c>
      <c r="E7" s="7" t="s">
        <v>10</v>
      </c>
      <c r="F7" s="8" t="n">
        <f aca="false">IFERROR(VLOOKUP(E7,Légende!$A$4:$B$7,2,FALSE()),"")</f>
        <v>0.15</v>
      </c>
    </row>
    <row r="8" customFormat="false" ht="19.5" hidden="false" customHeight="true" outlineLevel="0" collapsed="false">
      <c r="A8" s="7" t="s">
        <v>22</v>
      </c>
      <c r="B8" s="7" t="s">
        <v>37</v>
      </c>
      <c r="C8" s="7" t="s">
        <v>44</v>
      </c>
      <c r="D8" s="7" t="s">
        <v>45</v>
      </c>
      <c r="E8" s="7"/>
      <c r="F8" s="8" t="str">
        <f aca="false">IFERROR(VLOOKUP(E8,Légende!$A$4:$B$7,2,FALSE()),"")</f>
        <v/>
      </c>
    </row>
    <row r="9" customFormat="false" ht="19.5" hidden="false" customHeight="true" outlineLevel="0" collapsed="false">
      <c r="A9" s="7" t="s">
        <v>22</v>
      </c>
      <c r="B9" s="7" t="s">
        <v>37</v>
      </c>
      <c r="C9" s="7" t="s">
        <v>46</v>
      </c>
      <c r="D9" s="7" t="s">
        <v>47</v>
      </c>
      <c r="E9" s="7"/>
      <c r="F9" s="8" t="str">
        <f aca="false">IFERROR(VLOOKUP(E9,Légende!$A$4:$B$7,2,FALSE()),"")</f>
        <v/>
      </c>
    </row>
    <row r="10" customFormat="false" ht="19.5" hidden="false" customHeight="true" outlineLevel="0" collapsed="false">
      <c r="A10" s="7" t="s">
        <v>22</v>
      </c>
      <c r="B10" s="7" t="s">
        <v>37</v>
      </c>
      <c r="C10" s="7" t="s">
        <v>48</v>
      </c>
      <c r="D10" s="7" t="s">
        <v>49</v>
      </c>
      <c r="E10" s="7"/>
      <c r="F10" s="8" t="str">
        <f aca="false">IFERROR(VLOOKUP(E10,Légende!$A$4:$B$7,2,FALSE()),"")</f>
        <v/>
      </c>
    </row>
    <row r="11" customFormat="false" ht="19.5" hidden="false" customHeight="true" outlineLevel="0" collapsed="false">
      <c r="A11" s="7" t="s">
        <v>22</v>
      </c>
      <c r="B11" s="7" t="s">
        <v>50</v>
      </c>
      <c r="C11" s="7" t="s">
        <v>51</v>
      </c>
      <c r="D11" s="7" t="s">
        <v>52</v>
      </c>
      <c r="E11" s="7" t="s">
        <v>12</v>
      </c>
      <c r="F11" s="8" t="n">
        <f aca="false">IFERROR(VLOOKUP(E11,Légende!$A$4:$B$7,2,FALSE()),"")</f>
        <v>0.5</v>
      </c>
    </row>
    <row r="12" customFormat="false" ht="19.5" hidden="false" customHeight="true" outlineLevel="0" collapsed="false">
      <c r="A12" s="7" t="s">
        <v>22</v>
      </c>
      <c r="B12" s="7" t="s">
        <v>50</v>
      </c>
      <c r="C12" s="7" t="s">
        <v>53</v>
      </c>
      <c r="D12" s="7" t="s">
        <v>54</v>
      </c>
      <c r="E12" s="7"/>
      <c r="F12" s="8" t="str">
        <f aca="false">IFERROR(VLOOKUP(E12,Légende!$A$4:$B$7,2,FALSE()),"")</f>
        <v/>
      </c>
    </row>
    <row r="13" customFormat="false" ht="19.5" hidden="false" customHeight="true" outlineLevel="0" collapsed="false">
      <c r="A13" s="7" t="s">
        <v>22</v>
      </c>
      <c r="B13" s="7" t="s">
        <v>50</v>
      </c>
      <c r="C13" s="7" t="s">
        <v>55</v>
      </c>
      <c r="D13" s="7" t="s">
        <v>56</v>
      </c>
      <c r="E13" s="7"/>
      <c r="F13" s="8" t="str">
        <f aca="false">IFERROR(VLOOKUP(E13,Légende!$A$4:$B$7,2,FALSE()),"")</f>
        <v/>
      </c>
    </row>
    <row r="14" customFormat="false" ht="19.5" hidden="false" customHeight="true" outlineLevel="0" collapsed="false">
      <c r="A14" s="7" t="s">
        <v>22</v>
      </c>
      <c r="B14" s="7" t="s">
        <v>50</v>
      </c>
      <c r="C14" s="7" t="s">
        <v>57</v>
      </c>
      <c r="D14" s="7" t="s">
        <v>58</v>
      </c>
      <c r="E14" s="7" t="s">
        <v>10</v>
      </c>
      <c r="F14" s="8" t="n">
        <f aca="false">IFERROR(VLOOKUP(E14,Légende!$A$4:$B$7,2,FALSE()),"")</f>
        <v>0.15</v>
      </c>
    </row>
    <row r="15" customFormat="false" ht="19.5" hidden="false" customHeight="true" outlineLevel="0" collapsed="false">
      <c r="A15" s="7" t="s">
        <v>22</v>
      </c>
      <c r="B15" s="7" t="s">
        <v>50</v>
      </c>
      <c r="C15" s="7" t="s">
        <v>59</v>
      </c>
      <c r="D15" s="7" t="s">
        <v>60</v>
      </c>
      <c r="E15" s="7"/>
      <c r="F15" s="8" t="str">
        <f aca="false">IFERROR(VLOOKUP(E15,Légende!$A$4:$B$7,2,FALSE()),"")</f>
        <v/>
      </c>
    </row>
    <row r="16" customFormat="false" ht="19.5" hidden="false" customHeight="true" outlineLevel="0" collapsed="false">
      <c r="A16" s="7" t="s">
        <v>22</v>
      </c>
      <c r="B16" s="7" t="s">
        <v>50</v>
      </c>
      <c r="C16" s="7" t="s">
        <v>61</v>
      </c>
      <c r="D16" s="7" t="s">
        <v>62</v>
      </c>
      <c r="E16" s="7"/>
      <c r="F16" s="8" t="str">
        <f aca="false">IFERROR(VLOOKUP(E16,Légende!$A$4:$B$7,2,FALSE()),"")</f>
        <v/>
      </c>
    </row>
    <row r="17" customFormat="false" ht="19.5" hidden="false" customHeight="true" outlineLevel="0" collapsed="false">
      <c r="A17" s="7" t="s">
        <v>22</v>
      </c>
      <c r="B17" s="7" t="s">
        <v>50</v>
      </c>
      <c r="C17" s="7" t="s">
        <v>63</v>
      </c>
      <c r="D17" s="7" t="s">
        <v>64</v>
      </c>
      <c r="E17" s="7"/>
      <c r="F17" s="8" t="str">
        <f aca="false">IFERROR(VLOOKUP(E17,Légende!$A$4:$B$7,2,FALSE()),"")</f>
        <v/>
      </c>
    </row>
    <row r="18" customFormat="false" ht="19.5" hidden="false" customHeight="true" outlineLevel="0" collapsed="false">
      <c r="A18" s="7" t="s">
        <v>22</v>
      </c>
      <c r="B18" s="7" t="s">
        <v>50</v>
      </c>
      <c r="C18" s="7" t="s">
        <v>65</v>
      </c>
      <c r="D18" s="7" t="s">
        <v>66</v>
      </c>
      <c r="E18" s="7"/>
      <c r="F18" s="8" t="str">
        <f aca="false">IFERROR(VLOOKUP(E18,Légende!$A$4:$B$7,2,FALSE()),"")</f>
        <v/>
      </c>
    </row>
    <row r="19" customFormat="false" ht="19.5" hidden="false" customHeight="true" outlineLevel="0" collapsed="false">
      <c r="A19" s="7" t="s">
        <v>22</v>
      </c>
      <c r="B19" s="7" t="s">
        <v>67</v>
      </c>
      <c r="C19" s="7" t="s">
        <v>68</v>
      </c>
      <c r="D19" s="7" t="s">
        <v>69</v>
      </c>
      <c r="E19" s="7" t="s">
        <v>14</v>
      </c>
      <c r="F19" s="8" t="n">
        <f aca="false">IFERROR(VLOOKUP(E19,Légende!$A$4:$B$7,2,FALSE()),"")</f>
        <v>0.67</v>
      </c>
    </row>
    <row r="20" customFormat="false" ht="19.5" hidden="false" customHeight="true" outlineLevel="0" collapsed="false">
      <c r="A20" s="7" t="s">
        <v>22</v>
      </c>
      <c r="B20" s="7" t="s">
        <v>67</v>
      </c>
      <c r="C20" s="7" t="s">
        <v>70</v>
      </c>
      <c r="D20" s="7" t="s">
        <v>71</v>
      </c>
      <c r="E20" s="7"/>
      <c r="F20" s="8" t="str">
        <f aca="false">IFERROR(VLOOKUP(E20,Légende!$A$4:$B$7,2,FALSE()),"")</f>
        <v/>
      </c>
    </row>
    <row r="21" customFormat="false" ht="19.5" hidden="false" customHeight="true" outlineLevel="0" collapsed="false">
      <c r="A21" s="7" t="s">
        <v>22</v>
      </c>
      <c r="B21" s="7" t="s">
        <v>67</v>
      </c>
      <c r="C21" s="7" t="s">
        <v>72</v>
      </c>
      <c r="D21" s="7" t="s">
        <v>73</v>
      </c>
      <c r="E21" s="7"/>
      <c r="F21" s="8" t="str">
        <f aca="false">IFERROR(VLOOKUP(E21,Légende!$A$4:$B$7,2,FALSE()),"")</f>
        <v/>
      </c>
    </row>
    <row r="22" customFormat="false" ht="19.5" hidden="false" customHeight="true" outlineLevel="0" collapsed="false">
      <c r="A22" s="7" t="s">
        <v>22</v>
      </c>
      <c r="B22" s="7" t="s">
        <v>67</v>
      </c>
      <c r="C22" s="7" t="s">
        <v>74</v>
      </c>
      <c r="D22" s="7" t="s">
        <v>75</v>
      </c>
      <c r="E22" s="7" t="s">
        <v>14</v>
      </c>
      <c r="F22" s="8" t="n">
        <f aca="false">IFERROR(VLOOKUP(E22,Légende!$A$4:$B$7,2,FALSE()),"")</f>
        <v>0.67</v>
      </c>
    </row>
    <row r="23" customFormat="false" ht="19.5" hidden="false" customHeight="true" outlineLevel="0" collapsed="false">
      <c r="A23" s="7" t="s">
        <v>22</v>
      </c>
      <c r="B23" s="7" t="s">
        <v>76</v>
      </c>
      <c r="C23" s="7" t="s">
        <v>77</v>
      </c>
      <c r="D23" s="7" t="s">
        <v>78</v>
      </c>
      <c r="E23" s="7" t="s">
        <v>12</v>
      </c>
      <c r="F23" s="8" t="n">
        <f aca="false">IFERROR(VLOOKUP(E23,Légende!$A$4:$B$7,2,FALSE()),"")</f>
        <v>0.5</v>
      </c>
    </row>
    <row r="24" customFormat="false" ht="19.5" hidden="false" customHeight="true" outlineLevel="0" collapsed="false">
      <c r="A24" s="7" t="s">
        <v>22</v>
      </c>
      <c r="B24" s="7" t="s">
        <v>76</v>
      </c>
      <c r="C24" s="7" t="s">
        <v>79</v>
      </c>
      <c r="D24" s="7" t="s">
        <v>80</v>
      </c>
      <c r="E24" s="7"/>
      <c r="F24" s="8" t="str">
        <f aca="false">IFERROR(VLOOKUP(E24,Légende!$A$4:$B$7,2,FALSE()),"")</f>
        <v/>
      </c>
    </row>
    <row r="25" customFormat="false" ht="19.5" hidden="false" customHeight="true" outlineLevel="0" collapsed="false">
      <c r="A25" s="7" t="s">
        <v>22</v>
      </c>
      <c r="B25" s="7" t="s">
        <v>76</v>
      </c>
      <c r="C25" s="7" t="s">
        <v>81</v>
      </c>
      <c r="D25" s="7" t="s">
        <v>82</v>
      </c>
      <c r="E25" s="7" t="s">
        <v>14</v>
      </c>
      <c r="F25" s="8" t="n">
        <f aca="false">IFERROR(VLOOKUP(E25,Légende!$A$4:$B$7,2,FALSE()),"")</f>
        <v>0.67</v>
      </c>
    </row>
    <row r="26" customFormat="false" ht="19.5" hidden="false" customHeight="true" outlineLevel="0" collapsed="false">
      <c r="A26" s="7" t="s">
        <v>22</v>
      </c>
      <c r="B26" s="7" t="s">
        <v>76</v>
      </c>
      <c r="C26" s="7" t="s">
        <v>83</v>
      </c>
      <c r="D26" s="7" t="s">
        <v>84</v>
      </c>
      <c r="E26" s="7"/>
      <c r="F26" s="8" t="str">
        <f aca="false">IFERROR(VLOOKUP(E26,Légende!$A$4:$B$7,2,FALSE()),"")</f>
        <v/>
      </c>
    </row>
    <row r="27" customFormat="false" ht="19.5" hidden="false" customHeight="true" outlineLevel="0" collapsed="false">
      <c r="A27" s="7" t="s">
        <v>22</v>
      </c>
      <c r="B27" s="7" t="s">
        <v>76</v>
      </c>
      <c r="C27" s="7" t="s">
        <v>85</v>
      </c>
      <c r="D27" s="7" t="s">
        <v>86</v>
      </c>
      <c r="E27" s="7"/>
      <c r="F27" s="8" t="str">
        <f aca="false">IFERROR(VLOOKUP(E27,Légende!$A$4:$B$7,2,FALSE()),"")</f>
        <v/>
      </c>
    </row>
    <row r="28" customFormat="false" ht="19.5" hidden="false" customHeight="true" outlineLevel="0" collapsed="false">
      <c r="A28" s="7" t="s">
        <v>22</v>
      </c>
      <c r="B28" s="7" t="s">
        <v>87</v>
      </c>
      <c r="C28" s="7" t="s">
        <v>88</v>
      </c>
      <c r="D28" s="7" t="s">
        <v>89</v>
      </c>
      <c r="E28" s="7" t="s">
        <v>12</v>
      </c>
      <c r="F28" s="8" t="n">
        <f aca="false">IFERROR(VLOOKUP(E28,Légende!$A$4:$B$7,2,FALSE()),"")</f>
        <v>0.5</v>
      </c>
    </row>
    <row r="29" customFormat="false" ht="19.5" hidden="false" customHeight="true" outlineLevel="0" collapsed="false">
      <c r="A29" s="7" t="s">
        <v>22</v>
      </c>
      <c r="B29" s="7" t="s">
        <v>87</v>
      </c>
      <c r="C29" s="7" t="s">
        <v>90</v>
      </c>
      <c r="D29" s="7" t="s">
        <v>91</v>
      </c>
      <c r="E29" s="7"/>
      <c r="F29" s="8" t="str">
        <f aca="false">IFERROR(VLOOKUP(E29,Légende!$A$4:$B$7,2,FALSE()),"")</f>
        <v/>
      </c>
    </row>
    <row r="30" customFormat="false" ht="19.5" hidden="false" customHeight="true" outlineLevel="0" collapsed="false">
      <c r="A30" s="7" t="s">
        <v>22</v>
      </c>
      <c r="B30" s="7" t="s">
        <v>87</v>
      </c>
      <c r="C30" s="7" t="s">
        <v>92</v>
      </c>
      <c r="D30" s="7" t="s">
        <v>93</v>
      </c>
      <c r="E30" s="7"/>
      <c r="F30" s="8" t="str">
        <f aca="false">IFERROR(VLOOKUP(E30,Légende!$A$4:$B$7,2,FALSE()),"")</f>
        <v/>
      </c>
    </row>
    <row r="31" customFormat="false" ht="19.5" hidden="false" customHeight="true" outlineLevel="0" collapsed="false">
      <c r="A31" s="7" t="s">
        <v>22</v>
      </c>
      <c r="B31" s="7" t="s">
        <v>87</v>
      </c>
      <c r="C31" s="7" t="s">
        <v>94</v>
      </c>
      <c r="D31" s="7" t="s">
        <v>95</v>
      </c>
      <c r="E31" s="7" t="s">
        <v>10</v>
      </c>
      <c r="F31" s="8" t="n">
        <f aca="false">IFERROR(VLOOKUP(E31,Légende!$A$4:$B$7,2,FALSE()),"")</f>
        <v>0.15</v>
      </c>
    </row>
    <row r="32" customFormat="false" ht="19.5" hidden="false" customHeight="true" outlineLevel="0" collapsed="false">
      <c r="A32" s="7" t="s">
        <v>22</v>
      </c>
      <c r="B32" s="7" t="s">
        <v>87</v>
      </c>
      <c r="C32" s="7" t="s">
        <v>96</v>
      </c>
      <c r="D32" s="7" t="s">
        <v>97</v>
      </c>
      <c r="E32" s="7"/>
      <c r="F32" s="8" t="str">
        <f aca="false">IFERROR(VLOOKUP(E32,Légende!$A$4:$B$7,2,FALSE()),"")</f>
        <v/>
      </c>
    </row>
    <row r="33" customFormat="false" ht="19.5" hidden="false" customHeight="true" outlineLevel="0" collapsed="false">
      <c r="A33" s="7" t="s">
        <v>22</v>
      </c>
      <c r="B33" s="7" t="s">
        <v>87</v>
      </c>
      <c r="C33" s="7" t="s">
        <v>98</v>
      </c>
      <c r="D33" s="7" t="s">
        <v>99</v>
      </c>
      <c r="E33" s="7"/>
      <c r="F33" s="8" t="str">
        <f aca="false">IFERROR(VLOOKUP(E33,Légende!$A$4:$B$7,2,FALSE()),"")</f>
        <v/>
      </c>
    </row>
    <row r="34" customFormat="false" ht="19.5" hidden="false" customHeight="true" outlineLevel="0" collapsed="false">
      <c r="A34" s="7" t="s">
        <v>22</v>
      </c>
      <c r="B34" s="7" t="s">
        <v>87</v>
      </c>
      <c r="C34" s="7" t="s">
        <v>100</v>
      </c>
      <c r="D34" s="7" t="s">
        <v>101</v>
      </c>
      <c r="E34" s="7" t="s">
        <v>10</v>
      </c>
      <c r="F34" s="8" t="n">
        <f aca="false">IFERROR(VLOOKUP(E34,Légende!$A$4:$B$7,2,FALSE()),"")</f>
        <v>0.15</v>
      </c>
    </row>
    <row r="35" customFormat="false" ht="19.5" hidden="false" customHeight="true" outlineLevel="0" collapsed="false">
      <c r="A35" s="7" t="s">
        <v>22</v>
      </c>
      <c r="B35" s="7" t="s">
        <v>102</v>
      </c>
      <c r="C35" s="7" t="s">
        <v>103</v>
      </c>
      <c r="D35" s="7" t="s">
        <v>104</v>
      </c>
      <c r="E35" s="7" t="s">
        <v>12</v>
      </c>
      <c r="F35" s="8" t="n">
        <f aca="false">IFERROR(VLOOKUP(E35,Légende!$A$4:$B$7,2,FALSE()),"")</f>
        <v>0.5</v>
      </c>
    </row>
    <row r="36" customFormat="false" ht="19.5" hidden="false" customHeight="true" outlineLevel="0" collapsed="false">
      <c r="A36" s="7" t="s">
        <v>22</v>
      </c>
      <c r="B36" s="7" t="s">
        <v>102</v>
      </c>
      <c r="C36" s="7" t="s">
        <v>105</v>
      </c>
      <c r="D36" s="7" t="s">
        <v>106</v>
      </c>
      <c r="E36" s="7" t="s">
        <v>12</v>
      </c>
      <c r="F36" s="8" t="n">
        <f aca="false">IFERROR(VLOOKUP(E36,Légende!$A$4:$B$7,2,FALSE()),"")</f>
        <v>0.5</v>
      </c>
    </row>
    <row r="37" customFormat="false" ht="19.5" hidden="false" customHeight="true" outlineLevel="0" collapsed="false">
      <c r="A37" s="7" t="s">
        <v>22</v>
      </c>
      <c r="B37" s="7" t="s">
        <v>102</v>
      </c>
      <c r="C37" s="7" t="s">
        <v>107</v>
      </c>
      <c r="D37" s="7" t="s">
        <v>108</v>
      </c>
      <c r="E37" s="7"/>
      <c r="F37" s="8" t="str">
        <f aca="false">IFERROR(VLOOKUP(E37,Légende!$A$4:$B$7,2,FALSE()),"")</f>
        <v/>
      </c>
    </row>
    <row r="38" customFormat="false" ht="19.5" hidden="false" customHeight="true" outlineLevel="0" collapsed="false">
      <c r="A38" s="7" t="s">
        <v>22</v>
      </c>
      <c r="B38" s="7" t="s">
        <v>102</v>
      </c>
      <c r="C38" s="7" t="s">
        <v>109</v>
      </c>
      <c r="D38" s="7" t="s">
        <v>110</v>
      </c>
      <c r="E38" s="7" t="s">
        <v>12</v>
      </c>
      <c r="F38" s="8" t="n">
        <f aca="false">IFERROR(VLOOKUP(E38,Légende!$A$4:$B$7,2,FALSE()),"")</f>
        <v>0.5</v>
      </c>
    </row>
    <row r="39" customFormat="false" ht="19.5" hidden="false" customHeight="true" outlineLevel="0" collapsed="false">
      <c r="A39" s="7" t="s">
        <v>22</v>
      </c>
      <c r="B39" s="7" t="s">
        <v>102</v>
      </c>
      <c r="C39" s="7" t="s">
        <v>111</v>
      </c>
      <c r="D39" s="7" t="s">
        <v>112</v>
      </c>
      <c r="E39" s="7"/>
      <c r="F39" s="8" t="str">
        <f aca="false">IFERROR(VLOOKUP(E39,Légende!$A$4:$B$7,2,FALSE()),"")</f>
        <v/>
      </c>
    </row>
    <row r="40" customFormat="false" ht="19.5" hidden="false" customHeight="true" outlineLevel="0" collapsed="false">
      <c r="A40" s="7" t="s">
        <v>22</v>
      </c>
      <c r="B40" s="7" t="s">
        <v>102</v>
      </c>
      <c r="C40" s="7" t="s">
        <v>113</v>
      </c>
      <c r="D40" s="7" t="s">
        <v>114</v>
      </c>
      <c r="E40" s="7"/>
      <c r="F40" s="8" t="str">
        <f aca="false">IFERROR(VLOOKUP(E40,Légende!$A$4:$B$7,2,FALSE()),"")</f>
        <v/>
      </c>
    </row>
    <row r="41" customFormat="false" ht="19.5" hidden="false" customHeight="true" outlineLevel="0" collapsed="false">
      <c r="A41" s="7" t="s">
        <v>22</v>
      </c>
      <c r="B41" s="7" t="s">
        <v>102</v>
      </c>
      <c r="C41" s="7" t="s">
        <v>115</v>
      </c>
      <c r="D41" s="7" t="s">
        <v>116</v>
      </c>
      <c r="E41" s="7" t="s">
        <v>10</v>
      </c>
      <c r="F41" s="8" t="n">
        <f aca="false">IFERROR(VLOOKUP(E41,Légende!$A$4:$B$7,2,FALSE()),"")</f>
        <v>0.15</v>
      </c>
    </row>
    <row r="42" customFormat="false" ht="19.5" hidden="false" customHeight="true" outlineLevel="0" collapsed="false">
      <c r="A42" s="7" t="s">
        <v>24</v>
      </c>
      <c r="B42" s="7" t="s">
        <v>117</v>
      </c>
      <c r="C42" s="7" t="s">
        <v>118</v>
      </c>
      <c r="D42" s="7" t="s">
        <v>119</v>
      </c>
      <c r="E42" s="7"/>
      <c r="F42" s="8" t="str">
        <f aca="false">IFERROR(VLOOKUP(E42,Légende!$A$4:$B$7,2,FALSE()),"")</f>
        <v/>
      </c>
    </row>
    <row r="43" customFormat="false" ht="19.5" hidden="false" customHeight="true" outlineLevel="0" collapsed="false">
      <c r="A43" s="7" t="s">
        <v>24</v>
      </c>
      <c r="B43" s="7" t="s">
        <v>117</v>
      </c>
      <c r="C43" s="7" t="s">
        <v>120</v>
      </c>
      <c r="D43" s="7" t="s">
        <v>121</v>
      </c>
      <c r="E43" s="7"/>
      <c r="F43" s="8" t="str">
        <f aca="false">IFERROR(VLOOKUP(E43,Légende!$A$4:$B$7,2,FALSE()),"")</f>
        <v/>
      </c>
    </row>
    <row r="44" customFormat="false" ht="19.5" hidden="false" customHeight="true" outlineLevel="0" collapsed="false">
      <c r="A44" s="7" t="s">
        <v>24</v>
      </c>
      <c r="B44" s="7" t="s">
        <v>117</v>
      </c>
      <c r="C44" s="7" t="s">
        <v>122</v>
      </c>
      <c r="D44" s="7" t="s">
        <v>123</v>
      </c>
      <c r="E44" s="7"/>
      <c r="F44" s="8" t="str">
        <f aca="false">IFERROR(VLOOKUP(E44,Légende!$A$4:$B$7,2,FALSE()),"")</f>
        <v/>
      </c>
    </row>
    <row r="45" customFormat="false" ht="19.5" hidden="false" customHeight="true" outlineLevel="0" collapsed="false">
      <c r="A45" s="7" t="s">
        <v>24</v>
      </c>
      <c r="B45" s="7" t="s">
        <v>117</v>
      </c>
      <c r="C45" s="7" t="s">
        <v>124</v>
      </c>
      <c r="D45" s="7" t="s">
        <v>125</v>
      </c>
      <c r="E45" s="7"/>
      <c r="F45" s="8" t="str">
        <f aca="false">IFERROR(VLOOKUP(E45,Légende!$A$4:$B$7,2,FALSE()),"")</f>
        <v/>
      </c>
    </row>
    <row r="46" customFormat="false" ht="19.5" hidden="false" customHeight="true" outlineLevel="0" collapsed="false">
      <c r="A46" s="7" t="s">
        <v>24</v>
      </c>
      <c r="B46" s="7" t="s">
        <v>117</v>
      </c>
      <c r="C46" s="7" t="s">
        <v>126</v>
      </c>
      <c r="D46" s="7" t="s">
        <v>127</v>
      </c>
      <c r="E46" s="7"/>
      <c r="F46" s="8" t="str">
        <f aca="false">IFERROR(VLOOKUP(E46,Légende!$A$4:$B$7,2,FALSE()),"")</f>
        <v/>
      </c>
    </row>
    <row r="47" customFormat="false" ht="19.5" hidden="false" customHeight="true" outlineLevel="0" collapsed="false">
      <c r="A47" s="7" t="s">
        <v>24</v>
      </c>
      <c r="B47" s="7" t="s">
        <v>117</v>
      </c>
      <c r="C47" s="7" t="s">
        <v>128</v>
      </c>
      <c r="D47" s="7" t="s">
        <v>129</v>
      </c>
      <c r="E47" s="7"/>
      <c r="F47" s="8" t="str">
        <f aca="false">IFERROR(VLOOKUP(E47,Légende!$A$4:$B$7,2,FALSE()),"")</f>
        <v/>
      </c>
    </row>
    <row r="48" customFormat="false" ht="19.5" hidden="false" customHeight="true" outlineLevel="0" collapsed="false">
      <c r="A48" s="7" t="s">
        <v>24</v>
      </c>
      <c r="B48" s="7" t="s">
        <v>117</v>
      </c>
      <c r="C48" s="7" t="s">
        <v>130</v>
      </c>
      <c r="D48" s="7" t="s">
        <v>131</v>
      </c>
      <c r="E48" s="7"/>
      <c r="F48" s="8" t="str">
        <f aca="false">IFERROR(VLOOKUP(E48,Légende!$A$4:$B$7,2,FALSE()),"")</f>
        <v/>
      </c>
    </row>
    <row r="49" customFormat="false" ht="19.5" hidden="false" customHeight="true" outlineLevel="0" collapsed="false">
      <c r="A49" s="7" t="s">
        <v>24</v>
      </c>
      <c r="B49" s="7" t="s">
        <v>117</v>
      </c>
      <c r="C49" s="7" t="s">
        <v>132</v>
      </c>
      <c r="D49" s="7" t="s">
        <v>133</v>
      </c>
      <c r="E49" s="7"/>
      <c r="F49" s="8" t="str">
        <f aca="false">IFERROR(VLOOKUP(E49,Légende!$A$4:$B$7,2,FALSE()),"")</f>
        <v/>
      </c>
    </row>
    <row r="50" customFormat="false" ht="19.5" hidden="false" customHeight="true" outlineLevel="0" collapsed="false">
      <c r="A50" s="7" t="s">
        <v>26</v>
      </c>
      <c r="B50" s="7" t="s">
        <v>134</v>
      </c>
      <c r="C50" s="7" t="s">
        <v>135</v>
      </c>
      <c r="D50" s="7" t="s">
        <v>136</v>
      </c>
      <c r="E50" s="7"/>
      <c r="F50" s="8" t="str">
        <f aca="false">IFERROR(VLOOKUP(E50,Légende!$A$4:$B$7,2,FALSE()),"")</f>
        <v/>
      </c>
    </row>
    <row r="51" customFormat="false" ht="19.5" hidden="false" customHeight="true" outlineLevel="0" collapsed="false">
      <c r="A51" s="7" t="s">
        <v>26</v>
      </c>
      <c r="B51" s="7" t="s">
        <v>134</v>
      </c>
      <c r="C51" s="7" t="s">
        <v>137</v>
      </c>
      <c r="D51" s="7" t="s">
        <v>138</v>
      </c>
      <c r="E51" s="7" t="s">
        <v>12</v>
      </c>
      <c r="F51" s="8" t="n">
        <f aca="false">IFERROR(VLOOKUP(E51,Légende!$A$4:$B$7,2,FALSE()),"")</f>
        <v>0.5</v>
      </c>
    </row>
    <row r="52" customFormat="false" ht="19.5" hidden="false" customHeight="true" outlineLevel="0" collapsed="false">
      <c r="A52" s="7" t="s">
        <v>26</v>
      </c>
      <c r="B52" s="7" t="s">
        <v>134</v>
      </c>
      <c r="C52" s="7" t="s">
        <v>139</v>
      </c>
      <c r="D52" s="7" t="s">
        <v>140</v>
      </c>
      <c r="E52" s="7" t="s">
        <v>14</v>
      </c>
      <c r="F52" s="8" t="n">
        <f aca="false">IFERROR(VLOOKUP(E52,Légende!$A$4:$B$7,2,FALSE()),"")</f>
        <v>0.67</v>
      </c>
    </row>
    <row r="53" customFormat="false" ht="19.5" hidden="false" customHeight="true" outlineLevel="0" collapsed="false">
      <c r="A53" s="7" t="s">
        <v>26</v>
      </c>
      <c r="B53" s="7" t="s">
        <v>134</v>
      </c>
      <c r="C53" s="7" t="s">
        <v>141</v>
      </c>
      <c r="D53" s="7" t="s">
        <v>142</v>
      </c>
      <c r="E53" s="7" t="s">
        <v>12</v>
      </c>
      <c r="F53" s="8" t="n">
        <f aca="false">IFERROR(VLOOKUP(E53,Légende!$A$4:$B$7,2,FALSE()),"")</f>
        <v>0.5</v>
      </c>
    </row>
    <row r="54" customFormat="false" ht="19.5" hidden="false" customHeight="true" outlineLevel="0" collapsed="false">
      <c r="A54" s="7" t="s">
        <v>26</v>
      </c>
      <c r="B54" s="7" t="s">
        <v>134</v>
      </c>
      <c r="C54" s="7" t="s">
        <v>143</v>
      </c>
      <c r="D54" s="7" t="s">
        <v>144</v>
      </c>
      <c r="E54" s="7" t="s">
        <v>14</v>
      </c>
      <c r="F54" s="8" t="n">
        <f aca="false">IFERROR(VLOOKUP(E54,Légende!$A$4:$B$7,2,FALSE()),"")</f>
        <v>0.67</v>
      </c>
    </row>
    <row r="55" customFormat="false" ht="19.5" hidden="false" customHeight="true" outlineLevel="0" collapsed="false">
      <c r="A55" s="7" t="s">
        <v>26</v>
      </c>
      <c r="B55" s="7" t="s">
        <v>134</v>
      </c>
      <c r="C55" s="7" t="s">
        <v>145</v>
      </c>
      <c r="D55" s="7" t="s">
        <v>146</v>
      </c>
      <c r="E55" s="7"/>
      <c r="F55" s="8" t="str">
        <f aca="false">IFERROR(VLOOKUP(E55,Légende!$A$4:$B$7,2,FALSE()),"")</f>
        <v/>
      </c>
    </row>
    <row r="56" customFormat="false" ht="19.5" hidden="false" customHeight="true" outlineLevel="0" collapsed="false">
      <c r="A56" s="7" t="s">
        <v>26</v>
      </c>
      <c r="B56" s="7" t="s">
        <v>134</v>
      </c>
      <c r="C56" s="7" t="s">
        <v>147</v>
      </c>
      <c r="D56" s="7" t="s">
        <v>148</v>
      </c>
      <c r="E56" s="7"/>
      <c r="F56" s="8" t="str">
        <f aca="false">IFERROR(VLOOKUP(E56,Légende!$A$4:$B$7,2,FALSE()),"")</f>
        <v/>
      </c>
    </row>
    <row r="57" customFormat="false" ht="19.5" hidden="false" customHeight="true" outlineLevel="0" collapsed="false">
      <c r="A57" s="7" t="s">
        <v>26</v>
      </c>
      <c r="B57" s="7" t="s">
        <v>149</v>
      </c>
      <c r="C57" s="7" t="s">
        <v>150</v>
      </c>
      <c r="D57" s="7" t="s">
        <v>151</v>
      </c>
      <c r="E57" s="7" t="s">
        <v>14</v>
      </c>
      <c r="F57" s="8" t="n">
        <f aca="false">IFERROR(VLOOKUP(E57,Légende!$A$4:$B$7,2,FALSE()),"")</f>
        <v>0.67</v>
      </c>
    </row>
    <row r="58" customFormat="false" ht="19.5" hidden="false" customHeight="true" outlineLevel="0" collapsed="false">
      <c r="A58" s="7" t="s">
        <v>26</v>
      </c>
      <c r="B58" s="7" t="s">
        <v>149</v>
      </c>
      <c r="C58" s="7" t="s">
        <v>152</v>
      </c>
      <c r="D58" s="7" t="s">
        <v>153</v>
      </c>
      <c r="E58" s="7" t="s">
        <v>10</v>
      </c>
      <c r="F58" s="8" t="n">
        <f aca="false">IFERROR(VLOOKUP(E58,Légende!$A$4:$B$7,2,FALSE()),"")</f>
        <v>0.15</v>
      </c>
    </row>
    <row r="59" customFormat="false" ht="19.5" hidden="false" customHeight="true" outlineLevel="0" collapsed="false">
      <c r="A59" s="7" t="s">
        <v>26</v>
      </c>
      <c r="B59" s="7" t="s">
        <v>149</v>
      </c>
      <c r="C59" s="7" t="s">
        <v>154</v>
      </c>
      <c r="D59" s="7" t="s">
        <v>155</v>
      </c>
      <c r="E59" s="7" t="s">
        <v>12</v>
      </c>
      <c r="F59" s="8" t="n">
        <f aca="false">IFERROR(VLOOKUP(E59,Légende!$A$4:$B$7,2,FALSE()),"")</f>
        <v>0.5</v>
      </c>
    </row>
    <row r="60" customFormat="false" ht="19.5" hidden="false" customHeight="true" outlineLevel="0" collapsed="false">
      <c r="A60" s="7" t="s">
        <v>26</v>
      </c>
      <c r="B60" s="7" t="s">
        <v>149</v>
      </c>
      <c r="C60" s="7" t="s">
        <v>156</v>
      </c>
      <c r="D60" s="7" t="s">
        <v>157</v>
      </c>
      <c r="E60" s="7" t="s">
        <v>12</v>
      </c>
      <c r="F60" s="8" t="n">
        <f aca="false">IFERROR(VLOOKUP(E60,Légende!$A$4:$B$7,2,FALSE()),"")</f>
        <v>0.5</v>
      </c>
    </row>
    <row r="61" customFormat="false" ht="19.5" hidden="false" customHeight="true" outlineLevel="0" collapsed="false">
      <c r="A61" s="7" t="s">
        <v>26</v>
      </c>
      <c r="B61" s="7" t="s">
        <v>149</v>
      </c>
      <c r="C61" s="7" t="s">
        <v>158</v>
      </c>
      <c r="D61" s="7" t="s">
        <v>159</v>
      </c>
      <c r="E61" s="7" t="s">
        <v>14</v>
      </c>
      <c r="F61" s="8" t="n">
        <f aca="false">IFERROR(VLOOKUP(E61,Légende!$A$4:$B$7,2,FALSE()),"")</f>
        <v>0.67</v>
      </c>
    </row>
    <row r="62" customFormat="false" ht="19.5" hidden="false" customHeight="true" outlineLevel="0" collapsed="false">
      <c r="A62" s="7" t="s">
        <v>26</v>
      </c>
      <c r="B62" s="7" t="s">
        <v>149</v>
      </c>
      <c r="C62" s="7" t="s">
        <v>160</v>
      </c>
      <c r="D62" s="7" t="s">
        <v>161</v>
      </c>
      <c r="E62" s="7" t="s">
        <v>12</v>
      </c>
      <c r="F62" s="8" t="n">
        <f aca="false">IFERROR(VLOOKUP(E62,Légende!$A$4:$B$7,2,FALSE()),"")</f>
        <v>0.5</v>
      </c>
    </row>
    <row r="63" customFormat="false" ht="19.5" hidden="false" customHeight="true" outlineLevel="0" collapsed="false">
      <c r="A63" s="7" t="s">
        <v>26</v>
      </c>
      <c r="B63" s="7" t="s">
        <v>149</v>
      </c>
      <c r="C63" s="7" t="s">
        <v>162</v>
      </c>
      <c r="D63" s="7" t="s">
        <v>163</v>
      </c>
      <c r="E63" s="7" t="s">
        <v>10</v>
      </c>
      <c r="F63" s="8" t="n">
        <f aca="false">IFERROR(VLOOKUP(E63,Légende!$A$4:$B$7,2,FALSE()),"")</f>
        <v>0.15</v>
      </c>
    </row>
    <row r="64" customFormat="false" ht="19.5" hidden="false" customHeight="true" outlineLevel="0" collapsed="false">
      <c r="A64" s="7" t="s">
        <v>28</v>
      </c>
      <c r="B64" s="7" t="s">
        <v>164</v>
      </c>
      <c r="C64" s="7" t="s">
        <v>165</v>
      </c>
      <c r="D64" s="7" t="s">
        <v>166</v>
      </c>
      <c r="E64" s="7" t="s">
        <v>10</v>
      </c>
      <c r="F64" s="8" t="n">
        <f aca="false">IFERROR(VLOOKUP(E64,Légende!$A$4:$B$7,2,FALSE()),"")</f>
        <v>0.15</v>
      </c>
    </row>
    <row r="65" customFormat="false" ht="19.5" hidden="false" customHeight="true" outlineLevel="0" collapsed="false">
      <c r="A65" s="7" t="s">
        <v>28</v>
      </c>
      <c r="B65" s="7" t="s">
        <v>164</v>
      </c>
      <c r="C65" s="7" t="s">
        <v>167</v>
      </c>
      <c r="D65" s="7" t="s">
        <v>168</v>
      </c>
      <c r="E65" s="7" t="s">
        <v>12</v>
      </c>
      <c r="F65" s="8" t="n">
        <f aca="false">IFERROR(VLOOKUP(E65,Légende!$A$4:$B$7,2,FALSE()),"")</f>
        <v>0.5</v>
      </c>
    </row>
    <row r="66" customFormat="false" ht="19.5" hidden="false" customHeight="true" outlineLevel="0" collapsed="false">
      <c r="A66" s="7" t="s">
        <v>28</v>
      </c>
      <c r="B66" s="7" t="s">
        <v>164</v>
      </c>
      <c r="C66" s="7" t="s">
        <v>169</v>
      </c>
      <c r="D66" s="7" t="s">
        <v>170</v>
      </c>
      <c r="E66" s="7"/>
      <c r="F66" s="8" t="str">
        <f aca="false">IFERROR(VLOOKUP(E66,Légende!$A$4:$B$7,2,FALSE()),"")</f>
        <v/>
      </c>
    </row>
    <row r="67" customFormat="false" ht="19.5" hidden="false" customHeight="true" outlineLevel="0" collapsed="false">
      <c r="A67" s="7" t="s">
        <v>28</v>
      </c>
      <c r="B67" s="7" t="s">
        <v>164</v>
      </c>
      <c r="C67" s="7" t="s">
        <v>171</v>
      </c>
      <c r="D67" s="7" t="s">
        <v>172</v>
      </c>
      <c r="E67" s="7" t="s">
        <v>14</v>
      </c>
      <c r="F67" s="8" t="n">
        <f aca="false">IFERROR(VLOOKUP(E67,Légende!$A$4:$B$7,2,FALSE()),"")</f>
        <v>0.67</v>
      </c>
    </row>
    <row r="68" customFormat="false" ht="19.5" hidden="false" customHeight="true" outlineLevel="0" collapsed="false">
      <c r="A68" s="7" t="s">
        <v>28</v>
      </c>
      <c r="B68" s="7" t="s">
        <v>164</v>
      </c>
      <c r="C68" s="7" t="s">
        <v>173</v>
      </c>
      <c r="D68" s="7" t="s">
        <v>174</v>
      </c>
      <c r="E68" s="7" t="s">
        <v>14</v>
      </c>
      <c r="F68" s="8" t="n">
        <f aca="false">IFERROR(VLOOKUP(E68,Légende!$A$4:$B$7,2,FALSE()),"")</f>
        <v>0.67</v>
      </c>
    </row>
    <row r="69" customFormat="false" ht="19.5" hidden="false" customHeight="true" outlineLevel="0" collapsed="false">
      <c r="A69" s="7" t="s">
        <v>28</v>
      </c>
      <c r="B69" s="7" t="s">
        <v>175</v>
      </c>
      <c r="C69" s="7" t="s">
        <v>176</v>
      </c>
      <c r="D69" s="7" t="s">
        <v>177</v>
      </c>
      <c r="E69" s="7" t="s">
        <v>12</v>
      </c>
      <c r="F69" s="8" t="n">
        <f aca="false">IFERROR(VLOOKUP(E69,Légende!$A$4:$B$7,2,FALSE()),"")</f>
        <v>0.5</v>
      </c>
    </row>
    <row r="70" customFormat="false" ht="19.5" hidden="false" customHeight="true" outlineLevel="0" collapsed="false">
      <c r="A70" s="7" t="s">
        <v>28</v>
      </c>
      <c r="B70" s="7" t="s">
        <v>175</v>
      </c>
      <c r="C70" s="7" t="s">
        <v>178</v>
      </c>
      <c r="D70" s="7" t="s">
        <v>179</v>
      </c>
      <c r="E70" s="7"/>
      <c r="F70" s="8" t="str">
        <f aca="false">IFERROR(VLOOKUP(E70,Légende!$A$4:$B$7,2,FALSE()),"")</f>
        <v/>
      </c>
    </row>
    <row r="71" customFormat="false" ht="19.5" hidden="false" customHeight="true" outlineLevel="0" collapsed="false">
      <c r="A71" s="7" t="s">
        <v>28</v>
      </c>
      <c r="B71" s="7" t="s">
        <v>175</v>
      </c>
      <c r="C71" s="7" t="s">
        <v>180</v>
      </c>
      <c r="D71" s="7" t="s">
        <v>181</v>
      </c>
      <c r="E71" s="7" t="s">
        <v>10</v>
      </c>
      <c r="F71" s="8" t="n">
        <f aca="false">IFERROR(VLOOKUP(E71,Légende!$A$4:$B$7,2,FALSE()),"")</f>
        <v>0.15</v>
      </c>
    </row>
    <row r="72" customFormat="false" ht="19.5" hidden="false" customHeight="true" outlineLevel="0" collapsed="false">
      <c r="A72" s="7" t="s">
        <v>28</v>
      </c>
      <c r="B72" s="7" t="s">
        <v>175</v>
      </c>
      <c r="C72" s="7" t="s">
        <v>182</v>
      </c>
      <c r="D72" s="7" t="s">
        <v>183</v>
      </c>
      <c r="E72" s="7"/>
      <c r="F72" s="8" t="str">
        <f aca="false">IFERROR(VLOOKUP(E72,Légende!$A$4:$B$7,2,FALSE()),"")</f>
        <v/>
      </c>
    </row>
    <row r="73" customFormat="false" ht="19.5" hidden="false" customHeight="true" outlineLevel="0" collapsed="false">
      <c r="A73" s="7" t="s">
        <v>28</v>
      </c>
      <c r="B73" s="7" t="s">
        <v>175</v>
      </c>
      <c r="C73" s="7" t="s">
        <v>184</v>
      </c>
      <c r="D73" s="7" t="s">
        <v>185</v>
      </c>
      <c r="E73" s="7"/>
      <c r="F73" s="8" t="str">
        <f aca="false">IFERROR(VLOOKUP(E73,Légende!$A$4:$B$7,2,FALSE()),"")</f>
        <v/>
      </c>
    </row>
    <row r="74" customFormat="false" ht="19.5" hidden="false" customHeight="true" outlineLevel="0" collapsed="false">
      <c r="A74" s="7" t="s">
        <v>28</v>
      </c>
      <c r="B74" s="7" t="s">
        <v>186</v>
      </c>
      <c r="C74" s="7" t="s">
        <v>187</v>
      </c>
      <c r="D74" s="7" t="s">
        <v>188</v>
      </c>
      <c r="E74" s="7"/>
      <c r="F74" s="8" t="str">
        <f aca="false">IFERROR(VLOOKUP(E74,Légende!$A$4:$B$7,2,FALSE()),"")</f>
        <v/>
      </c>
    </row>
    <row r="75" customFormat="false" ht="19.5" hidden="false" customHeight="true" outlineLevel="0" collapsed="false">
      <c r="A75" s="7" t="s">
        <v>28</v>
      </c>
      <c r="B75" s="7" t="s">
        <v>186</v>
      </c>
      <c r="C75" s="7" t="s">
        <v>189</v>
      </c>
      <c r="D75" s="7" t="s">
        <v>190</v>
      </c>
      <c r="E75" s="7"/>
      <c r="F75" s="8" t="str">
        <f aca="false">IFERROR(VLOOKUP(E75,Légende!$A$4:$B$7,2,FALSE()),"")</f>
        <v/>
      </c>
    </row>
    <row r="76" customFormat="false" ht="19.5" hidden="false" customHeight="true" outlineLevel="0" collapsed="false">
      <c r="A76" s="7" t="s">
        <v>28</v>
      </c>
      <c r="B76" s="7" t="s">
        <v>186</v>
      </c>
      <c r="C76" s="7" t="s">
        <v>191</v>
      </c>
      <c r="D76" s="7" t="s">
        <v>192</v>
      </c>
      <c r="E76" s="7" t="s">
        <v>12</v>
      </c>
      <c r="F76" s="8" t="n">
        <f aca="false">IFERROR(VLOOKUP(E76,Légende!$A$4:$B$7,2,FALSE()),"")</f>
        <v>0.5</v>
      </c>
    </row>
    <row r="77" customFormat="false" ht="19.5" hidden="false" customHeight="true" outlineLevel="0" collapsed="false">
      <c r="A77" s="7" t="s">
        <v>28</v>
      </c>
      <c r="B77" s="7" t="s">
        <v>186</v>
      </c>
      <c r="C77" s="7" t="s">
        <v>193</v>
      </c>
      <c r="D77" s="7" t="s">
        <v>194</v>
      </c>
      <c r="E77" s="7" t="s">
        <v>10</v>
      </c>
      <c r="F77" s="8" t="n">
        <f aca="false">IFERROR(VLOOKUP(E77,Légende!$A$4:$B$7,2,FALSE()),"")</f>
        <v>0.15</v>
      </c>
    </row>
    <row r="78" customFormat="false" ht="19.5" hidden="false" customHeight="true" outlineLevel="0" collapsed="false">
      <c r="A78" s="7" t="s">
        <v>28</v>
      </c>
      <c r="B78" s="7" t="s">
        <v>195</v>
      </c>
      <c r="C78" s="7" t="s">
        <v>196</v>
      </c>
      <c r="D78" s="7" t="s">
        <v>197</v>
      </c>
      <c r="E78" s="7" t="s">
        <v>14</v>
      </c>
      <c r="F78" s="8" t="n">
        <f aca="false">IFERROR(VLOOKUP(E78,Légende!$A$4:$B$7,2,FALSE()),"")</f>
        <v>0.67</v>
      </c>
    </row>
    <row r="79" customFormat="false" ht="19.5" hidden="false" customHeight="true" outlineLevel="0" collapsed="false">
      <c r="A79" s="7" t="s">
        <v>28</v>
      </c>
      <c r="B79" s="7" t="s">
        <v>195</v>
      </c>
      <c r="C79" s="7" t="s">
        <v>198</v>
      </c>
      <c r="D79" s="7" t="s">
        <v>199</v>
      </c>
      <c r="E79" s="7" t="s">
        <v>14</v>
      </c>
      <c r="F79" s="8" t="n">
        <f aca="false">IFERROR(VLOOKUP(E79,Légende!$A$4:$B$7,2,FALSE()),"")</f>
        <v>0.67</v>
      </c>
    </row>
    <row r="80" customFormat="false" ht="19.5" hidden="false" customHeight="true" outlineLevel="0" collapsed="false">
      <c r="A80" s="7" t="s">
        <v>28</v>
      </c>
      <c r="B80" s="7" t="s">
        <v>200</v>
      </c>
      <c r="C80" s="7" t="s">
        <v>201</v>
      </c>
      <c r="D80" s="7" t="s">
        <v>202</v>
      </c>
      <c r="E80" s="7"/>
      <c r="F80" s="8" t="str">
        <f aca="false">IFERROR(VLOOKUP(E80,Légende!$A$4:$B$7,2,FALSE()),"")</f>
        <v/>
      </c>
    </row>
    <row r="81" customFormat="false" ht="19.5" hidden="false" customHeight="true" outlineLevel="0" collapsed="false">
      <c r="A81" s="7" t="s">
        <v>28</v>
      </c>
      <c r="B81" s="7" t="s">
        <v>200</v>
      </c>
      <c r="C81" s="7" t="s">
        <v>203</v>
      </c>
      <c r="D81" s="7" t="s">
        <v>204</v>
      </c>
      <c r="E81" s="7"/>
      <c r="F81" s="8" t="str">
        <f aca="false">IFERROR(VLOOKUP(E81,Légende!$A$4:$B$7,2,FALSE()),"")</f>
        <v/>
      </c>
    </row>
    <row r="82" customFormat="false" ht="19.5" hidden="false" customHeight="true" outlineLevel="0" collapsed="false">
      <c r="A82" s="7" t="s">
        <v>28</v>
      </c>
      <c r="B82" s="7" t="s">
        <v>200</v>
      </c>
      <c r="C82" s="7" t="s">
        <v>205</v>
      </c>
      <c r="D82" s="7" t="s">
        <v>206</v>
      </c>
      <c r="E82" s="7"/>
      <c r="F82" s="8" t="str">
        <f aca="false">IFERROR(VLOOKUP(E82,Légende!$A$4:$B$7,2,FALSE()),"")</f>
        <v/>
      </c>
    </row>
    <row r="83" customFormat="false" ht="19.5" hidden="false" customHeight="true" outlineLevel="0" collapsed="false">
      <c r="A83" s="7" t="s">
        <v>28</v>
      </c>
      <c r="B83" s="7" t="s">
        <v>200</v>
      </c>
      <c r="C83" s="7" t="s">
        <v>207</v>
      </c>
      <c r="D83" s="7" t="s">
        <v>208</v>
      </c>
      <c r="E83" s="7" t="s">
        <v>12</v>
      </c>
      <c r="F83" s="8" t="n">
        <f aca="false">IFERROR(VLOOKUP(E83,Légende!$A$4:$B$7,2,FALSE()),"")</f>
        <v>0.5</v>
      </c>
    </row>
    <row r="84" customFormat="false" ht="19.5" hidden="false" customHeight="true" outlineLevel="0" collapsed="false">
      <c r="A84" s="7" t="s">
        <v>28</v>
      </c>
      <c r="B84" s="7" t="s">
        <v>200</v>
      </c>
      <c r="C84" s="7" t="s">
        <v>209</v>
      </c>
      <c r="D84" s="7" t="s">
        <v>210</v>
      </c>
      <c r="E84" s="7" t="s">
        <v>14</v>
      </c>
      <c r="F84" s="8" t="n">
        <f aca="false">IFERROR(VLOOKUP(E84,Légende!$A$4:$B$7,2,FALSE()),"")</f>
        <v>0.67</v>
      </c>
    </row>
    <row r="85" customFormat="false" ht="19.5" hidden="false" customHeight="true" outlineLevel="0" collapsed="false">
      <c r="A85" s="7" t="s">
        <v>28</v>
      </c>
      <c r="B85" s="7" t="s">
        <v>200</v>
      </c>
      <c r="C85" s="7" t="s">
        <v>211</v>
      </c>
      <c r="D85" s="7" t="s">
        <v>212</v>
      </c>
      <c r="E85" s="7" t="s">
        <v>14</v>
      </c>
      <c r="F85" s="8" t="n">
        <f aca="false">IFERROR(VLOOKUP(E85,Légende!$A$4:$B$7,2,FALSE()),"")</f>
        <v>0.67</v>
      </c>
    </row>
    <row r="86" customFormat="false" ht="19.5" hidden="false" customHeight="true" outlineLevel="0" collapsed="false">
      <c r="A86" s="7" t="s">
        <v>28</v>
      </c>
      <c r="B86" s="7" t="s">
        <v>213</v>
      </c>
      <c r="C86" s="7" t="s">
        <v>214</v>
      </c>
      <c r="D86" s="7" t="s">
        <v>215</v>
      </c>
      <c r="E86" s="7"/>
      <c r="F86" s="8" t="str">
        <f aca="false">IFERROR(VLOOKUP(E86,Légende!$A$4:$B$7,2,FALSE()),"")</f>
        <v/>
      </c>
    </row>
    <row r="87" customFormat="false" ht="19.5" hidden="false" customHeight="true" outlineLevel="0" collapsed="false">
      <c r="A87" s="7" t="s">
        <v>28</v>
      </c>
      <c r="B87" s="7" t="s">
        <v>213</v>
      </c>
      <c r="C87" s="7" t="s">
        <v>216</v>
      </c>
      <c r="D87" s="7" t="s">
        <v>217</v>
      </c>
      <c r="E87" s="7" t="s">
        <v>12</v>
      </c>
      <c r="F87" s="8" t="n">
        <f aca="false">IFERROR(VLOOKUP(E87,Légende!$A$4:$B$7,2,FALSE()),"")</f>
        <v>0.5</v>
      </c>
    </row>
    <row r="88" customFormat="false" ht="19.5" hidden="false" customHeight="true" outlineLevel="0" collapsed="false">
      <c r="A88" s="7" t="s">
        <v>28</v>
      </c>
      <c r="B88" s="7" t="s">
        <v>218</v>
      </c>
      <c r="C88" s="7" t="s">
        <v>219</v>
      </c>
      <c r="D88" s="7" t="s">
        <v>220</v>
      </c>
      <c r="E88" s="7"/>
      <c r="F88" s="8" t="str">
        <f aca="false">IFERROR(VLOOKUP(E88,Légende!$A$4:$B$7,2,FALSE()),"")</f>
        <v/>
      </c>
    </row>
    <row r="89" customFormat="false" ht="19.5" hidden="false" customHeight="true" outlineLevel="0" collapsed="false">
      <c r="A89" s="7" t="s">
        <v>28</v>
      </c>
      <c r="B89" s="7" t="s">
        <v>218</v>
      </c>
      <c r="C89" s="7" t="s">
        <v>221</v>
      </c>
      <c r="D89" s="7" t="s">
        <v>222</v>
      </c>
      <c r="E89" s="7"/>
      <c r="F89" s="8" t="str">
        <f aca="false">IFERROR(VLOOKUP(E89,Légende!$A$4:$B$7,2,FALSE()),"")</f>
        <v/>
      </c>
    </row>
    <row r="90" customFormat="false" ht="19.5" hidden="false" customHeight="true" outlineLevel="0" collapsed="false">
      <c r="A90" s="7" t="s">
        <v>28</v>
      </c>
      <c r="B90" s="7" t="s">
        <v>218</v>
      </c>
      <c r="C90" s="7" t="s">
        <v>223</v>
      </c>
      <c r="D90" s="7" t="s">
        <v>224</v>
      </c>
      <c r="E90" s="7" t="s">
        <v>14</v>
      </c>
      <c r="F90" s="8" t="n">
        <f aca="false">IFERROR(VLOOKUP(E90,Légende!$A$4:$B$7,2,FALSE()),"")</f>
        <v>0.67</v>
      </c>
    </row>
    <row r="91" customFormat="false" ht="19.5" hidden="false" customHeight="true" outlineLevel="0" collapsed="false">
      <c r="A91" s="7" t="s">
        <v>28</v>
      </c>
      <c r="B91" s="7" t="s">
        <v>218</v>
      </c>
      <c r="C91" s="7" t="s">
        <v>225</v>
      </c>
      <c r="D91" s="7" t="s">
        <v>226</v>
      </c>
      <c r="E91" s="7"/>
      <c r="F91" s="8" t="str">
        <f aca="false">IFERROR(VLOOKUP(E91,Légende!$A$4:$B$7,2,FALSE()),"")</f>
        <v/>
      </c>
    </row>
    <row r="92" customFormat="false" ht="19.5" hidden="false" customHeight="true" outlineLevel="0" collapsed="false">
      <c r="A92" s="7" t="s">
        <v>28</v>
      </c>
      <c r="B92" s="7" t="s">
        <v>218</v>
      </c>
      <c r="C92" s="7" t="s">
        <v>227</v>
      </c>
      <c r="D92" s="7" t="s">
        <v>228</v>
      </c>
      <c r="E92" s="7"/>
      <c r="F92" s="8" t="str">
        <f aca="false">IFERROR(VLOOKUP(E92,Légende!$A$4:$B$7,2,FALSE()),"")</f>
        <v/>
      </c>
    </row>
    <row r="93" customFormat="false" ht="19.5" hidden="false" customHeight="true" outlineLevel="0" collapsed="false">
      <c r="A93" s="7" t="s">
        <v>28</v>
      </c>
      <c r="B93" s="7" t="s">
        <v>218</v>
      </c>
      <c r="C93" s="7" t="s">
        <v>229</v>
      </c>
      <c r="D93" s="7" t="s">
        <v>230</v>
      </c>
      <c r="E93" s="7"/>
      <c r="F93" s="8" t="str">
        <f aca="false">IFERROR(VLOOKUP(E93,Légende!$A$4:$B$7,2,FALSE()),"")</f>
        <v/>
      </c>
    </row>
    <row r="94" customFormat="false" ht="19.5" hidden="false" customHeight="true" outlineLevel="0" collapsed="false">
      <c r="A94" s="7" t="s">
        <v>28</v>
      </c>
      <c r="B94" s="7" t="s">
        <v>218</v>
      </c>
      <c r="C94" s="7" t="s">
        <v>231</v>
      </c>
      <c r="D94" s="7" t="s">
        <v>232</v>
      </c>
      <c r="E94" s="7"/>
      <c r="F94" s="8" t="str">
        <f aca="false">IFERROR(VLOOKUP(E94,Légende!$A$4:$B$7,2,FALSE()),"")</f>
        <v/>
      </c>
    </row>
    <row r="95" customFormat="false" ht="19.5" hidden="false" customHeight="true" outlineLevel="0" collapsed="false">
      <c r="A95" s="7" t="s">
        <v>28</v>
      </c>
      <c r="B95" s="7" t="s">
        <v>218</v>
      </c>
      <c r="C95" s="7" t="s">
        <v>233</v>
      </c>
      <c r="D95" s="7" t="s">
        <v>234</v>
      </c>
      <c r="E95" s="7"/>
      <c r="F95" s="8" t="str">
        <f aca="false">IFERROR(VLOOKUP(E95,Légende!$A$4:$B$7,2,FALSE()),"")</f>
        <v/>
      </c>
    </row>
    <row r="96" customFormat="false" ht="19.5" hidden="false" customHeight="true" outlineLevel="0" collapsed="false">
      <c r="A96" s="7" t="s">
        <v>28</v>
      </c>
      <c r="B96" s="7" t="s">
        <v>218</v>
      </c>
      <c r="C96" s="7" t="s">
        <v>235</v>
      </c>
      <c r="D96" s="7" t="s">
        <v>236</v>
      </c>
      <c r="E96" s="7"/>
      <c r="F96" s="8" t="str">
        <f aca="false">IFERROR(VLOOKUP(E96,Légende!$A$4:$B$7,2,FALSE()),"")</f>
        <v/>
      </c>
    </row>
    <row r="97" customFormat="false" ht="19.5" hidden="false" customHeight="true" outlineLevel="0" collapsed="false">
      <c r="A97" s="7" t="s">
        <v>28</v>
      </c>
      <c r="B97" s="7" t="s">
        <v>218</v>
      </c>
      <c r="C97" s="7" t="s">
        <v>237</v>
      </c>
      <c r="D97" s="7" t="s">
        <v>238</v>
      </c>
      <c r="E97" s="7"/>
      <c r="F97" s="8" t="str">
        <f aca="false">IFERROR(VLOOKUP(E97,Légende!$A$4:$B$7,2,FALSE()),"")</f>
        <v/>
      </c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E6:E97" type="list">
      <formula1>"Insuffisant,Informel,Convaincant,Optimisé"</formula1>
      <formula2>0</formula2>
    </dataValidation>
    <dataValidation allowBlank="true" errorStyle="stop" operator="between" showDropDown="false" showErrorMessage="false" showInputMessage="false" sqref="E5" type="list">
      <formula1>"Insuffisant,Informel,Convaincant,Optimisé"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5" t="s">
        <v>239</v>
      </c>
      <c r="B1" s="5"/>
      <c r="C1" s="5"/>
      <c r="D1" s="5"/>
      <c r="E1" s="5"/>
    </row>
    <row r="3" customFormat="false" ht="15" hidden="false" customHeight="false" outlineLevel="0" collapsed="false">
      <c r="A3" s="2" t="s">
        <v>240</v>
      </c>
    </row>
    <row r="4" customFormat="false" ht="26.85" hidden="false" customHeight="false" outlineLevel="0" collapsed="false">
      <c r="A4" s="6" t="s">
        <v>19</v>
      </c>
      <c r="B4" s="6" t="s">
        <v>20</v>
      </c>
      <c r="C4" s="6" t="s">
        <v>241</v>
      </c>
      <c r="D4" s="6" t="s">
        <v>242</v>
      </c>
    </row>
    <row r="5" customFormat="false" ht="15" hidden="false" customHeight="false" outlineLevel="0" collapsed="false">
      <c r="A5" s="7" t="s">
        <v>22</v>
      </c>
      <c r="B5" s="7" t="n">
        <f aca="false">COUNTIF('1. Évaluation'!A5:A97,A5)</f>
        <v>37</v>
      </c>
      <c r="C5" s="7" t="n">
        <f aca="false">COUNTIFS('1. Évaluation'!A5:A97,A5,'1. Évaluation'!E5:E97,"&lt;&gt;")</f>
        <v>16</v>
      </c>
      <c r="D5" s="8" t="n">
        <f aca="false">IFERROR(AVERAGEIF('1. Évaluation'!A5:A97,A5,'1. Évaluation'!F5:F97),"")</f>
        <v>0.37875</v>
      </c>
    </row>
    <row r="6" customFormat="false" ht="15" hidden="false" customHeight="false" outlineLevel="0" collapsed="false">
      <c r="A6" s="7" t="s">
        <v>24</v>
      </c>
      <c r="B6" s="7" t="n">
        <f aca="false">COUNTIF('1. Évaluation'!A5:A97,A6)</f>
        <v>8</v>
      </c>
      <c r="C6" s="7" t="n">
        <f aca="false">COUNTIFS('1. Évaluation'!A5:A97,A6,'1. Évaluation'!E5:E97,"&lt;&gt;")</f>
        <v>0</v>
      </c>
      <c r="D6" s="8" t="str">
        <f aca="false">IFERROR(AVERAGEIF('1. Évaluation'!A5:A97,A6,'1. Évaluation'!F5:F97),"")</f>
        <v/>
      </c>
    </row>
    <row r="7" customFormat="false" ht="15" hidden="false" customHeight="false" outlineLevel="0" collapsed="false">
      <c r="A7" s="7" t="s">
        <v>26</v>
      </c>
      <c r="B7" s="7" t="n">
        <f aca="false">COUNTIF('1. Évaluation'!A5:A97,A7)</f>
        <v>14</v>
      </c>
      <c r="C7" s="7" t="n">
        <f aca="false">COUNTIFS('1. Évaluation'!A5:A97,A7,'1. Évaluation'!E5:E97,"&lt;&gt;")</f>
        <v>11</v>
      </c>
      <c r="D7" s="8" t="n">
        <f aca="false">IFERROR(AVERAGEIF('1. Évaluation'!A5:A97,A7,'1. Évaluation'!F5:F97),"")</f>
        <v>0.498181818181818</v>
      </c>
    </row>
    <row r="8" customFormat="false" ht="15" hidden="false" customHeight="false" outlineLevel="0" collapsed="false">
      <c r="A8" s="7" t="s">
        <v>28</v>
      </c>
      <c r="B8" s="7" t="n">
        <f aca="false">COUNTIF('1. Évaluation'!A5:A97,A8)</f>
        <v>34</v>
      </c>
      <c r="C8" s="7" t="n">
        <f aca="false">COUNTIFS('1. Évaluation'!A5:A97,A8,'1. Évaluation'!E5:E97,"&lt;&gt;")</f>
        <v>15</v>
      </c>
      <c r="D8" s="8" t="n">
        <f aca="false">IFERROR(AVERAGEIF('1. Évaluation'!A5:A97,A8,'1. Évaluation'!F5:F97),"")</f>
        <v>0.509333333333333</v>
      </c>
    </row>
    <row r="10" customFormat="false" ht="15" hidden="false" customHeight="false" outlineLevel="0" collapsed="false">
      <c r="A10" s="7" t="s">
        <v>243</v>
      </c>
      <c r="B10" s="7"/>
      <c r="C10" s="7"/>
      <c r="D10" s="8" t="n">
        <f aca="false">IFERROR(AVERAGE('1. Évaluation'!F5:F97),"")</f>
        <v>0.456666666666667</v>
      </c>
    </row>
    <row r="12" customFormat="false" ht="15" hidden="false" customHeight="false" outlineLevel="0" collapsed="false">
      <c r="A12" s="2" t="s">
        <v>244</v>
      </c>
    </row>
    <row r="13" customFormat="false" ht="26.85" hidden="false" customHeight="false" outlineLevel="0" collapsed="false">
      <c r="A13" s="6" t="s">
        <v>19</v>
      </c>
      <c r="B13" s="6" t="s">
        <v>32</v>
      </c>
      <c r="C13" s="6" t="s">
        <v>20</v>
      </c>
      <c r="D13" s="6" t="s">
        <v>242</v>
      </c>
    </row>
    <row r="14" customFormat="false" ht="15" hidden="false" customHeight="false" outlineLevel="0" collapsed="false">
      <c r="A14" s="7" t="s">
        <v>22</v>
      </c>
      <c r="B14" s="7" t="s">
        <v>37</v>
      </c>
      <c r="C14" s="7" t="n">
        <v>6</v>
      </c>
      <c r="D14" s="8" t="n">
        <f aca="false">IFERROR(AVERAGE('1. Évaluation'!F5:F10),"")</f>
        <v>0.15</v>
      </c>
    </row>
    <row r="15" customFormat="false" ht="15" hidden="false" customHeight="false" outlineLevel="0" collapsed="false">
      <c r="A15" s="7" t="s">
        <v>22</v>
      </c>
      <c r="B15" s="7" t="s">
        <v>50</v>
      </c>
      <c r="C15" s="7" t="n">
        <v>8</v>
      </c>
      <c r="D15" s="8" t="n">
        <f aca="false">IFERROR(AVERAGE('1. Évaluation'!F11:F18),"")</f>
        <v>0.325</v>
      </c>
    </row>
    <row r="16" customFormat="false" ht="15" hidden="false" customHeight="false" outlineLevel="0" collapsed="false">
      <c r="A16" s="7" t="s">
        <v>22</v>
      </c>
      <c r="B16" s="7" t="s">
        <v>67</v>
      </c>
      <c r="C16" s="7" t="n">
        <v>4</v>
      </c>
      <c r="D16" s="8" t="n">
        <f aca="false">IFERROR(AVERAGE('1. Évaluation'!F19:F22),"")</f>
        <v>0.67</v>
      </c>
    </row>
    <row r="17" customFormat="false" ht="15" hidden="false" customHeight="false" outlineLevel="0" collapsed="false">
      <c r="A17" s="7" t="s">
        <v>22</v>
      </c>
      <c r="B17" s="7" t="s">
        <v>76</v>
      </c>
      <c r="C17" s="7" t="n">
        <v>5</v>
      </c>
      <c r="D17" s="8" t="n">
        <f aca="false">IFERROR(AVERAGE('1. Évaluation'!F23:F27),"")</f>
        <v>0.585</v>
      </c>
    </row>
    <row r="18" customFormat="false" ht="15" hidden="false" customHeight="false" outlineLevel="0" collapsed="false">
      <c r="A18" s="7" t="s">
        <v>22</v>
      </c>
      <c r="B18" s="7" t="s">
        <v>87</v>
      </c>
      <c r="C18" s="7" t="n">
        <v>7</v>
      </c>
      <c r="D18" s="8" t="n">
        <f aca="false">IFERROR(AVERAGE('1. Évaluation'!F28:F34),"")</f>
        <v>0.266666666666667</v>
      </c>
    </row>
    <row r="19" customFormat="false" ht="15" hidden="false" customHeight="false" outlineLevel="0" collapsed="false">
      <c r="A19" s="7" t="s">
        <v>22</v>
      </c>
      <c r="B19" s="7" t="s">
        <v>102</v>
      </c>
      <c r="C19" s="7" t="n">
        <v>7</v>
      </c>
      <c r="D19" s="8" t="n">
        <f aca="false">IFERROR(AVERAGE('1. Évaluation'!F35:F41),"")</f>
        <v>0.4125</v>
      </c>
    </row>
    <row r="20" customFormat="false" ht="15" hidden="false" customHeight="false" outlineLevel="0" collapsed="false">
      <c r="A20" s="7" t="s">
        <v>24</v>
      </c>
      <c r="B20" s="7" t="s">
        <v>117</v>
      </c>
      <c r="C20" s="7" t="n">
        <v>8</v>
      </c>
      <c r="D20" s="8" t="str">
        <f aca="false">IFERROR(AVERAGE('1. Évaluation'!F42:F49),"")</f>
        <v/>
      </c>
    </row>
    <row r="21" customFormat="false" ht="15" hidden="false" customHeight="false" outlineLevel="0" collapsed="false">
      <c r="A21" s="7" t="s">
        <v>26</v>
      </c>
      <c r="B21" s="7" t="s">
        <v>134</v>
      </c>
      <c r="C21" s="7" t="n">
        <v>7</v>
      </c>
      <c r="D21" s="8" t="n">
        <f aca="false">IFERROR(AVERAGE('1. Évaluation'!F50:F56),"")</f>
        <v>0.585</v>
      </c>
    </row>
    <row r="22" customFormat="false" ht="15" hidden="false" customHeight="false" outlineLevel="0" collapsed="false">
      <c r="A22" s="7" t="s">
        <v>26</v>
      </c>
      <c r="B22" s="7" t="s">
        <v>149</v>
      </c>
      <c r="C22" s="7" t="n">
        <v>7</v>
      </c>
      <c r="D22" s="8" t="n">
        <f aca="false">IFERROR(AVERAGE('1. Évaluation'!F57:F63),"")</f>
        <v>0.448571428571429</v>
      </c>
    </row>
    <row r="23" customFormat="false" ht="15" hidden="false" customHeight="false" outlineLevel="0" collapsed="false">
      <c r="A23" s="7" t="s">
        <v>28</v>
      </c>
      <c r="B23" s="7" t="s">
        <v>164</v>
      </c>
      <c r="C23" s="7" t="n">
        <v>5</v>
      </c>
      <c r="D23" s="8" t="n">
        <f aca="false">IFERROR(AVERAGE('1. Évaluation'!F64:F68),"")</f>
        <v>0.4975</v>
      </c>
    </row>
    <row r="24" customFormat="false" ht="15" hidden="false" customHeight="false" outlineLevel="0" collapsed="false">
      <c r="A24" s="7" t="s">
        <v>28</v>
      </c>
      <c r="B24" s="7" t="s">
        <v>175</v>
      </c>
      <c r="C24" s="7" t="n">
        <v>5</v>
      </c>
      <c r="D24" s="8" t="n">
        <f aca="false">IFERROR(AVERAGE('1. Évaluation'!F69:F73),"")</f>
        <v>0.325</v>
      </c>
    </row>
    <row r="25" customFormat="false" ht="15" hidden="false" customHeight="false" outlineLevel="0" collapsed="false">
      <c r="A25" s="7" t="s">
        <v>28</v>
      </c>
      <c r="B25" s="7" t="s">
        <v>186</v>
      </c>
      <c r="C25" s="7" t="n">
        <v>4</v>
      </c>
      <c r="D25" s="8" t="n">
        <f aca="false">IFERROR(AVERAGE('1. Évaluation'!F74:F77),"")</f>
        <v>0.325</v>
      </c>
    </row>
    <row r="26" customFormat="false" ht="15" hidden="false" customHeight="false" outlineLevel="0" collapsed="false">
      <c r="A26" s="7" t="s">
        <v>28</v>
      </c>
      <c r="B26" s="7" t="s">
        <v>195</v>
      </c>
      <c r="C26" s="7" t="n">
        <v>2</v>
      </c>
      <c r="D26" s="8" t="n">
        <f aca="false">IFERROR(AVERAGE('1. Évaluation'!F78:F79),"")</f>
        <v>0.67</v>
      </c>
    </row>
    <row r="27" customFormat="false" ht="26.85" hidden="false" customHeight="false" outlineLevel="0" collapsed="false">
      <c r="A27" s="7" t="s">
        <v>28</v>
      </c>
      <c r="B27" s="7" t="s">
        <v>200</v>
      </c>
      <c r="C27" s="7" t="n">
        <v>6</v>
      </c>
      <c r="D27" s="8" t="n">
        <f aca="false">IFERROR(AVERAGE('1. Évaluation'!F80:F85),"")</f>
        <v>0.613333333333333</v>
      </c>
    </row>
    <row r="28" customFormat="false" ht="15" hidden="false" customHeight="false" outlineLevel="0" collapsed="false">
      <c r="A28" s="7" t="s">
        <v>28</v>
      </c>
      <c r="B28" s="7" t="s">
        <v>213</v>
      </c>
      <c r="C28" s="7" t="n">
        <v>2</v>
      </c>
      <c r="D28" s="8" t="n">
        <f aca="false">IFERROR(AVERAGE('1. Évaluation'!F86:F87),"")</f>
        <v>0.5</v>
      </c>
    </row>
    <row r="29" customFormat="false" ht="15" hidden="false" customHeight="false" outlineLevel="0" collapsed="false">
      <c r="A29" s="7" t="s">
        <v>28</v>
      </c>
      <c r="B29" s="7" t="s">
        <v>218</v>
      </c>
      <c r="C29" s="7" t="n">
        <v>10</v>
      </c>
      <c r="D29" s="8" t="n">
        <f aca="false">IFERROR(AVERAGE('1. Évaluation'!F88:F97),"")</f>
        <v>0.67</v>
      </c>
    </row>
    <row r="31" customFormat="false" ht="15" hidden="false" customHeight="false" outlineLevel="0" collapsed="false">
      <c r="A31" s="2" t="s">
        <v>245</v>
      </c>
    </row>
    <row r="32" customFormat="false" ht="15" hidden="false" customHeight="false" outlineLevel="0" collapsed="false">
      <c r="A32" s="6" t="s">
        <v>7</v>
      </c>
      <c r="B32" s="6" t="s">
        <v>20</v>
      </c>
    </row>
    <row r="33" customFormat="false" ht="15" hidden="false" customHeight="false" outlineLevel="0" collapsed="false">
      <c r="A33" s="7" t="s">
        <v>10</v>
      </c>
      <c r="B33" s="7" t="n">
        <f aca="false">COUNTIF('1. Évaluation'!E5:E97,A33)</f>
        <v>12</v>
      </c>
    </row>
    <row r="34" customFormat="false" ht="15" hidden="false" customHeight="false" outlineLevel="0" collapsed="false">
      <c r="A34" s="7" t="s">
        <v>12</v>
      </c>
      <c r="B34" s="7" t="n">
        <f aca="false">COUNTIF('1. Évaluation'!E5:E97,A34)</f>
        <v>16</v>
      </c>
    </row>
    <row r="35" customFormat="false" ht="15" hidden="false" customHeight="false" outlineLevel="0" collapsed="false">
      <c r="A35" s="7" t="s">
        <v>14</v>
      </c>
      <c r="B35" s="7" t="n">
        <f aca="false">COUNTIF('1. Évaluation'!E5:E97,A35)</f>
        <v>14</v>
      </c>
    </row>
    <row r="36" customFormat="false" ht="15" hidden="false" customHeight="false" outlineLevel="0" collapsed="false">
      <c r="A36" s="7" t="s">
        <v>16</v>
      </c>
      <c r="B36" s="7" t="n">
        <f aca="false">COUNTIF('1. Évaluation'!E5:E97,A36)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2026-08-13T03:20:04Z</dcterms:created>
  <dc:creator>openpyxl</dc:creator>
  <dc:description/>
  <dc:language>en-US</dc:language>
  <cp:lastModifiedBy/>
  <dcterms:modified xsi:type="dcterms:W3CDTF">2026-08-14T03:32:57Z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